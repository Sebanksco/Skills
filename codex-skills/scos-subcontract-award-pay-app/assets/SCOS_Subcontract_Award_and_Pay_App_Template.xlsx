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26e2867b7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7c85190fe9e44e8"/>
    <x:sheet xmlns:r="http://schemas.openxmlformats.org/officeDocument/2006/relationships" name="Notice of Award" sheetId="2" r:id="R525f440eeef14db8"/>
    <x:sheet xmlns:r="http://schemas.openxmlformats.org/officeDocument/2006/relationships" name="Agreement Data" sheetId="3" r:id="R07587fc016474cff"/>
    <x:sheet xmlns:r="http://schemas.openxmlformats.org/officeDocument/2006/relationships" name="Scope Gap Review" sheetId="4" r:id="R68d3c2c821974f4d"/>
    <x:sheet xmlns:r="http://schemas.openxmlformats.org/officeDocument/2006/relationships" name="Schedule of Values" sheetId="5" r:id="R416b290f1949403c"/>
    <x:sheet xmlns:r="http://schemas.openxmlformats.org/officeDocument/2006/relationships" name="Pay App Summary" sheetId="6" r:id="R37a7ef736ad84857"/>
    <x:sheet xmlns:r="http://schemas.openxmlformats.org/officeDocument/2006/relationships" name="Continuation Sheet" sheetId="7" r:id="R9356969c0aed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2"/>
      <x:color rgb="FF102D50"/>
      <x:name val="Carlito"/>
    </x:font>
    <x:font>
      <x:b/>
      <x:sz val="11"/>
      <x:color rgb="FFFFFFFF"/>
      <x:name val="Carlito"/>
    </x:font>
    <x:font>
      <x:b/>
      <x:sz val="11"/>
      <x:color rgb="FF8A2D20"/>
      <x:name val="Carlito"/>
    </x:font>
    <x:font>
      <x:b/>
      <x:sz val="11"/>
      <x:color rgb="FF102D5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D50"/>
      </x:patternFill>
    </x:fill>
    <x:fill>
      <x:patternFill patternType="solid">
        <x:fgColor rgb="FFD5A942"/>
      </x:patternFill>
    </x:fill>
    <x:fill>
      <x:patternFill patternType="solid">
        <x:fgColor rgb="FF0C5B87"/>
      </x:patternFill>
    </x:fill>
    <x:fill>
      <x:patternFill patternType="solid">
        <x:fgColor rgb="FFFCE8E6"/>
      </x:patternFill>
    </x:fill>
    <x:fill>
      <x:patternFill patternType="solid">
        <x:fgColor rgb="FFFFFBEA"/>
      </x:patternFill>
    </x:fill>
    <x:fill>
      <x:patternFill patternType="solid">
        <x:fgColor rgb="FFEAF2F7"/>
      </x:patternFill>
    </x:fill>
  </x:fills>
  <x:borders count="2">
    <x:border/>
    <x:border>
      <x:left style="thin">
        <x:color rgb="FFD8DDE4"/>
      </x:left>
      <x:right style="thin">
        <x:color rgb="FFD8DDE4"/>
      </x:right>
      <x:top style="thin">
        <x:color rgb="FFD8DDE4"/>
      </x:top>
      <x:bottom style="thin">
        <x:color rgb="FFD8DDE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4e913affc4595" /><Relationship Type="http://schemas.openxmlformats.org/officeDocument/2006/relationships/theme" Target="/xl/theme/theme1.xml" Id="R12d47fc615444f32" /><Relationship Type="http://schemas.openxmlformats.org/officeDocument/2006/relationships/sharedStrings" Target="/xl/sharedStrings.xml" Id="R674f259d62104654" /><Relationship Type="http://schemas.openxmlformats.org/officeDocument/2006/relationships/worksheet" Target="/xl/worksheets/sheet1.xml" Id="R77c85190fe9e44e8" /><Relationship Type="http://schemas.openxmlformats.org/officeDocument/2006/relationships/worksheet" Target="/xl/worksheets/sheet2.xml" Id="R525f440eeef14db8" /><Relationship Type="http://schemas.openxmlformats.org/officeDocument/2006/relationships/worksheet" Target="/xl/worksheets/sheet3.xml" Id="R07587fc016474cff" /><Relationship Type="http://schemas.openxmlformats.org/officeDocument/2006/relationships/worksheet" Target="/xl/worksheets/sheet4.xml" Id="R68d3c2c821974f4d" /><Relationship Type="http://schemas.openxmlformats.org/officeDocument/2006/relationships/worksheet" Target="/xl/worksheets/sheet5.xml" Id="R416b290f1949403c" /><Relationship Type="http://schemas.openxmlformats.org/officeDocument/2006/relationships/worksheet" Target="/xl/worksheets/sheet6.xml" Id="R37a7ef736ad84857" /><Relationship Type="http://schemas.openxmlformats.org/officeDocument/2006/relationships/worksheet" Target="/xl/worksheets/sheet7.xml" Id="R9356969c0aed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CONTROLLED SUBCONTRACT AWARD + PAY APP TEMPLATE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Step</x:v>
      </x:c>
      <x:c r="B4" s="8" t="str">
        <x:v>Required control</x:v>
      </x:c>
    </x:row>
    <x:row r="5" ht="15" hidden="0" customHeight="1">
      <x:c r="A5" s="10" t="str">
        <x:v>1</x:v>
      </x:c>
      <x:c r="B5" s="10" t="str">
        <x:v>AI-assisted Notice of Award draft; human review required before external use.</x:v>
      </x:c>
    </x:row>
    <x:row r="6" ht="15" hidden="0" customHeight="1">
      <x:c r="A6" s="10" t="str">
        <x:v>2</x:v>
      </x:c>
      <x:c r="B6" s="10" t="str">
        <x:v>Upload proposal, plans, specifications, addenda/RFIs and base subcontract when available.</x:v>
      </x:c>
    </x:row>
    <x:row r="7" ht="15" hidden="0" customHeight="1">
      <x:c r="A7" s="10" t="str">
        <x:v>3</x:v>
      </x:c>
      <x:c r="B7" s="10" t="str">
        <x:v>Resolve every binding blocker in Scope Gap Review.</x:v>
      </x:c>
    </x:row>
    <x:row r="8" ht="15" hidden="0" customHeight="1">
      <x:c r="A8" s="10" t="str">
        <x:v>4</x:v>
      </x:c>
      <x:c r="B8" s="10" t="str">
        <x:v>Confirm Agreement Data, including the seven-day notice-to-remedy control.</x:v>
      </x:c>
    </x:row>
    <x:row r="9" ht="15" hidden="0" customHeight="1">
      <x:c r="A9" s="10" t="str">
        <x:v>5</x:v>
      </x:c>
      <x:c r="B9" s="10" t="str">
        <x:v>Approve a Schedule of Values that equals the original subcontract amount.</x:v>
      </x:c>
    </x:row>
    <x:row r="10" ht="15" hidden="0" customHeight="1">
      <x:c r="A10" s="10" t="str">
        <x:v>6</x:v>
      </x:c>
      <x:c r="B10" s="10" t="str">
        <x:v>Create period billing from the approved SOV; never overwrite prior certified values.</x:v>
      </x:c>
    </x:row>
    <x:row r="11" ht="26.399999618530273" hidden="0" customHeight="1">
      <x:c r="A11" s="10" t="str">
        <x:v>Storage</x:v>
      </x:c>
      <x:c r="B11" s="10" t="str">
        <x:v>Store master Excel templates in a controlled Sebanks template library; store project outputs in the project trade's Subcontract Agreement / Pay Applications folders.</x:v>
      </x:c>
    </x:row>
    <x:row r="12"/>
    <x:row r="13">
      <x:c r="A13" s="13" t="str">
        <x:v>DRAFT TEMPLATE — NOT A SIGNED AGREEMENT OR PAYMENT AUTHORIZATION. Legal wording must be reviewed against the supplied base subcontract.</x:v>
      </x:c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</x:sheetData>
  <x:mergeCells>
    <x:mergeCell ref="A1:H1"/>
    <x:mergeCell ref="A2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STEP 1 — DRAFT NOTICE OF AWARD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Field</x:v>
      </x:c>
      <x:c r="B4" s="8" t="str">
        <x:v>Review value</x:v>
      </x:c>
    </x:row>
    <x:row r="5" ht="15" hidden="0" customHeight="1">
      <x:c r="A5" t="str">
        <x:v>Award date</x:v>
      </x:c>
      <x:c r="B5" s="16" t="str"/>
    </x:row>
    <x:row r="6" ht="15" hidden="0" customHeight="1">
      <x:c r="A6" t="str">
        <x:v>Vendor legal name</x:v>
      </x:c>
      <x:c r="B6" s="16" t="str"/>
    </x:row>
    <x:row r="7" ht="15" hidden="0" customHeight="1">
      <x:c r="A7" t="str">
        <x:v>Project</x:v>
      </x:c>
      <x:c r="B7" s="16" t="str"/>
    </x:row>
    <x:row r="8" ht="15" hidden="0" customHeight="1">
      <x:c r="A8" t="str">
        <x:v>Project location</x:v>
      </x:c>
      <x:c r="B8" s="16" t="str"/>
    </x:row>
    <x:row r="9" ht="15" hidden="0" customHeight="1">
      <x:c r="A9" t="str">
        <x:v>CSI section</x:v>
      </x:c>
      <x:c r="B9" s="16" t="str"/>
    </x:row>
    <x:row r="10" ht="15" hidden="0" customHeight="1">
      <x:c r="A10" t="str">
        <x:v>Trade</x:v>
      </x:c>
      <x:c r="B10" s="16" t="str"/>
    </x:row>
    <x:row r="11" ht="15" hidden="0" customHeight="1">
      <x:c r="A11" t="str">
        <x:v>Proposal / estimate reference</x:v>
      </x:c>
      <x:c r="B11" s="16" t="str"/>
    </x:row>
    <x:row r="12" ht="15" hidden="0" customHeight="1">
      <x:c r="A12" t="str">
        <x:v>Proposed award amount</x:v>
      </x:c>
      <x:c r="B12" s="17" t="n">
        <x:v>0</x:v>
      </x:c>
    </x:row>
    <x:row r="13" ht="15" hidden="0" customHeight="1">
      <x:c r="A13" t="str">
        <x:v>Scope summary</x:v>
      </x:c>
      <x:c r="B13" s="16" t="str"/>
    </x:row>
    <x:row r="14"/>
    <x:row r="15" ht="15" hidden="0" customHeight="1">
      <x:c r="A15" s="8" t="str">
        <x:v>Condition precedent</x:v>
      </x:c>
      <x:c r="B15" s="8" t="str">
        <x:v>Required / editable</x:v>
      </x:c>
    </x:row>
    <x:row r="16" ht="15" hidden="0" customHeight="1">
      <x:c r="A16" s="9" t="str">
        <x:v>Executed written subcontract</x:v>
      </x:c>
      <x:c r="B16" s="9" t="str">
        <x:v>Required</x:v>
      </x:c>
    </x:row>
    <x:row r="17" ht="15" hidden="0" customHeight="1">
      <x:c r="A17" s="9" t="str">
        <x:v>Scope gaps and exclusions resolved</x:v>
      </x:c>
      <x:c r="B17" s="9" t="str">
        <x:v>Required</x:v>
      </x:c>
    </x:row>
    <x:row r="18" ht="15" hidden="0" customHeight="1">
      <x:c r="A18" s="9" t="str">
        <x:v>Insurance / bonds / compliance accepted</x:v>
      </x:c>
      <x:c r="B18" s="9" t="str">
        <x:v>Required</x:v>
      </x:c>
    </x:row>
    <x:row r="19" ht="15" hidden="0" customHeight="1">
      <x:c r="A19" s="9" t="str">
        <x:v>Schedule commitment accepted</x:v>
      </x:c>
      <x:c r="B19" s="9" t="str">
        <x:v>Required</x:v>
      </x:c>
    </x:row>
    <x:row r="20" ht="15" hidden="0" customHeight="1">
      <x:c r="A20" s="9" t="str">
        <x:v>Notice authorizes work</x:v>
      </x:c>
      <x:c r="B20" s="9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STEP 2 — SUBCONTRACT AGREEMENT DATA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Field</x:v>
      </x:c>
      <x:c r="B4" s="8" t="str">
        <x:v>Review value</x:v>
      </x:c>
    </x:row>
    <x:row r="5" ht="15" hidden="0" customHeight="1">
      <x:c r="A5" t="str">
        <x:v>Subcontract number</x:v>
      </x:c>
      <x:c r="B5" s="16" t="str"/>
    </x:row>
    <x:row r="6" ht="15" hidden="0" customHeight="1">
      <x:c r="A6" t="str">
        <x:v>Vendor legal name</x:v>
      </x:c>
      <x:c r="B6" s="16" t="str"/>
    </x:row>
    <x:row r="7" ht="15" hidden="0" customHeight="1">
      <x:c r="A7" t="str">
        <x:v>Vendor address</x:v>
      </x:c>
      <x:c r="B7" s="16" t="str"/>
    </x:row>
    <x:row r="8" ht="15" hidden="0" customHeight="1">
      <x:c r="A8" t="str">
        <x:v>Project</x:v>
      </x:c>
      <x:c r="B8" s="16" t="str"/>
    </x:row>
    <x:row r="9" ht="15" hidden="0" customHeight="1">
      <x:c r="A9" t="str">
        <x:v>Project address</x:v>
      </x:c>
      <x:c r="B9" s="16" t="str"/>
    </x:row>
    <x:row r="10" ht="15" hidden="0" customHeight="1">
      <x:c r="A10" t="str">
        <x:v>Trade / scope</x:v>
      </x:c>
      <x:c r="B10" s="16" t="str"/>
    </x:row>
    <x:row r="11" ht="15" hidden="0" customHeight="1">
      <x:c r="A11" t="str">
        <x:v>Original subcontract amount</x:v>
      </x:c>
      <x:c r="B11" s="17" t="n">
        <x:v>0</x:v>
      </x:c>
    </x:row>
    <x:row r="12" ht="15" hidden="0" customHeight="1">
      <x:c r="A12" t="str">
        <x:v>Retainage %</x:v>
      </x:c>
      <x:c r="B12" s="18" t="n">
        <x:v>0.1</x:v>
      </x:c>
    </x:row>
    <x:row r="13" ht="15" hidden="0" customHeight="1">
      <x:c r="A13" t="str">
        <x:v>Payment terms</x:v>
      </x:c>
      <x:c r="B13" s="16" t="str"/>
    </x:row>
    <x:row r="14" ht="15" hidden="0" customHeight="1">
      <x:c r="A14" t="str">
        <x:v>Start / completion commitment</x:v>
      </x:c>
      <x:c r="B14" s="16" t="str"/>
    </x:row>
    <x:row r="15" ht="15" hidden="0" customHeight="1">
      <x:c r="A15" t="str">
        <x:v>Notice to remedy (days)</x:v>
      </x:c>
      <x:c r="B15" s="16" t="n">
        <x:v>7</x:v>
      </x:c>
    </x:row>
    <x:row r="16" ht="15" hidden="0" customHeight="1">
      <x:c r="A16" t="str">
        <x:v>Base subcontract provided</x:v>
      </x:c>
      <x:c r="B16" s="16" t="str">
        <x:v>No</x:v>
      </x:c>
    </x:row>
    <x:row r="17"/>
    <x:row r="18">
      <x:c r="A18" s="21" t="str">
        <x:v>Seven-day control: this workbook records the required cure period, but does not invent or replace the termination clause. Insert revised language only after the actual base subcontract is supplied and reviewed.</x:v>
      </x:c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mergeCells>
    <x:mergeCell ref="A1:H1"/>
    <x:mergeCell ref="A2:H2"/>
    <x:mergeCell ref="A18:H20"/>
  </x:mergeCells>
  <x:dataValidations count="1">
    <x:dataValidation type="list" sqref="B16">
      <x:formula1>"No,Yes"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  <x:col min="9" max="9" width="20" hidden="0" customWidth="1"/>
    <x:col min="10" max="10" width="20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AI-ASSISTED SCOPE, EXCLUSION + GAP REVIEW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ID</x:v>
      </x:c>
      <x:c r="B4" s="8" t="str">
        <x:v>Severity</x:v>
      </x:c>
      <x:c r="C4" s="8" t="str">
        <x:v>Category</x:v>
      </x:c>
      <x:c r="D4" s="8" t="str">
        <x:v>Gap / conflict</x:v>
      </x:c>
      <x:c r="E4" s="8" t="str">
        <x:v>Proposal evidence</x:v>
      </x:c>
      <x:c r="F4" s="8" t="str">
        <x:v>Plan / sheet</x:v>
      </x:c>
      <x:c r="G4" s="8" t="str">
        <x:v>Spec section</x:v>
      </x:c>
      <x:c r="H4" s="8" t="str">
        <x:v>Recommended resolution</x:v>
      </x:c>
      <x:c r="I4" s="8" t="str">
        <x:v>Binding blocker</x:v>
      </x:c>
      <x:c r="J4" s="8" t="str">
        <x:v>Status</x:v>
      </x:c>
    </x:row>
    <x:row r="5" ht="15" hidden="0" customHeight="1">
      <x:c r="A5" s="10" t="n">
        <x:f>ROW()-4</x:f>
        <x:v>1</x:v>
      </x:c>
      <x:c r="B5" s="10"/>
      <x:c r="C5" s="10"/>
      <x:c r="D5" s="10"/>
      <x:c r="E5" s="10"/>
      <x:c r="F5" s="10"/>
      <x:c r="G5" s="10"/>
      <x:c r="H5" s="10"/>
      <x:c r="I5" s="10"/>
      <x:c r="J5" s="10"/>
    </x:row>
    <x:row r="6" ht="15" hidden="0" customHeight="1">
      <x:c r="A6" s="10" t="n">
        <x:f>ROW()-4</x:f>
        <x:v>2</x:v>
      </x:c>
      <x:c r="B6" s="10"/>
      <x:c r="C6" s="10"/>
      <x:c r="D6" s="10"/>
      <x:c r="E6" s="10"/>
      <x:c r="F6" s="10"/>
      <x:c r="G6" s="10"/>
      <x:c r="H6" s="10"/>
      <x:c r="I6" s="10"/>
      <x:c r="J6" s="10"/>
    </x:row>
    <x:row r="7" ht="15" hidden="0" customHeight="1">
      <x:c r="A7" s="10" t="n">
        <x:f>ROW()-4</x:f>
        <x:v>3</x:v>
      </x:c>
      <x:c r="B7" s="10"/>
      <x:c r="C7" s="10"/>
      <x:c r="D7" s="10"/>
      <x:c r="E7" s="10"/>
      <x:c r="F7" s="10"/>
      <x:c r="G7" s="10"/>
      <x:c r="H7" s="10"/>
      <x:c r="I7" s="10"/>
      <x:c r="J7" s="10"/>
    </x:row>
    <x:row r="8" ht="15" hidden="0" customHeight="1">
      <x:c r="A8" s="10" t="n">
        <x:f>ROW()-4</x:f>
        <x:v>4</x:v>
      </x:c>
      <x:c r="B8" s="10"/>
      <x:c r="C8" s="10"/>
      <x:c r="D8" s="10"/>
      <x:c r="E8" s="10"/>
      <x:c r="F8" s="10"/>
      <x:c r="G8" s="10"/>
      <x:c r="H8" s="10"/>
      <x:c r="I8" s="10"/>
      <x:c r="J8" s="10"/>
    </x:row>
    <x:row r="9" ht="15" hidden="0" customHeight="1">
      <x:c r="A9" s="10" t="n">
        <x:f>ROW()-4</x:f>
        <x:v>5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15" hidden="0" customHeight="1">
      <x:c r="A10" s="10" t="n">
        <x:f>ROW()-4</x:f>
        <x:v>6</x:v>
      </x:c>
      <x:c r="B10" s="10"/>
      <x:c r="C10" s="10"/>
      <x:c r="D10" s="10"/>
      <x:c r="E10" s="10"/>
      <x:c r="F10" s="10"/>
      <x:c r="G10" s="10"/>
      <x:c r="H10" s="10"/>
      <x:c r="I10" s="10"/>
      <x:c r="J10" s="10"/>
    </x:row>
    <x:row r="11" ht="15" hidden="0" customHeight="1">
      <x:c r="A11" s="10" t="n">
        <x:f>ROW()-4</x:f>
        <x:v>7</x:v>
      </x:c>
      <x:c r="B11" s="10"/>
      <x:c r="C11" s="10"/>
      <x:c r="D11" s="10"/>
      <x:c r="E11" s="10"/>
      <x:c r="F11" s="10"/>
      <x:c r="G11" s="10"/>
      <x:c r="H11" s="10"/>
      <x:c r="I11" s="10"/>
      <x:c r="J11" s="10"/>
    </x:row>
    <x:row r="12" ht="15" hidden="0" customHeight="1">
      <x:c r="A12" s="10" t="n">
        <x:f>ROW()-4</x:f>
        <x:v>8</x:v>
      </x:c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 ht="15" hidden="0" customHeight="1">
      <x:c r="A13" s="10" t="n">
        <x:f>ROW()-4</x:f>
        <x:v>9</x:v>
      </x:c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 ht="15" hidden="0" customHeight="1">
      <x:c r="A14" s="10" t="n">
        <x:f>ROW()-4</x:f>
        <x:v>10</x:v>
      </x:c>
      <x:c r="B14" s="10"/>
      <x:c r="C14" s="10"/>
      <x:c r="D14" s="10"/>
      <x:c r="E14" s="10"/>
      <x:c r="F14" s="10"/>
      <x:c r="G14" s="10"/>
      <x:c r="H14" s="10"/>
      <x:c r="I14" s="10"/>
      <x:c r="J14" s="10"/>
    </x:row>
    <x:row r="15" ht="15" hidden="0" customHeight="1">
      <x:c r="A15" s="10" t="n">
        <x:f>ROW()-4</x:f>
        <x:v>11</x:v>
      </x:c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 ht="15" hidden="0" customHeight="1">
      <x:c r="A16" s="10" t="n">
        <x:f>ROW()-4</x:f>
        <x:v>12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15" hidden="0" customHeight="1">
      <x:c r="A17" s="10" t="n">
        <x:f>ROW()-4</x:f>
        <x:v>13</x:v>
      </x:c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 ht="15" hidden="0" customHeight="1">
      <x:c r="A18" s="10" t="n">
        <x:f>ROW()-4</x:f>
        <x:v>14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15" hidden="0" customHeight="1">
      <x:c r="A19" s="10" t="n">
        <x:f>ROW()-4</x:f>
        <x:v>15</x:v>
      </x:c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 ht="15" hidden="0" customHeight="1">
      <x:c r="A20" s="10" t="n">
        <x:f>ROW()-4</x:f>
        <x:v>16</x:v>
      </x:c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 ht="15" hidden="0" customHeight="1">
      <x:c r="A21" s="10" t="n">
        <x:f>ROW()-4</x:f>
        <x:v>17</x:v>
      </x:c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 ht="15" hidden="0" customHeight="1">
      <x:c r="A22" s="10" t="n">
        <x:f>ROW()-4</x:f>
        <x:v>18</x:v>
      </x:c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 ht="15" hidden="0" customHeight="1">
      <x:c r="A23" s="10" t="n">
        <x:f>ROW()-4</x:f>
        <x:v>19</x:v>
      </x:c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15" hidden="0" customHeight="1">
      <x:c r="A24" s="10" t="n">
        <x:f>ROW()-4</x:f>
        <x:v>20</x:v>
      </x:c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 ht="15" hidden="0" customHeight="1">
      <x:c r="A25" s="10" t="n">
        <x:f>ROW()-4</x:f>
        <x:v>21</x:v>
      </x:c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 ht="15" hidden="0" customHeight="1">
      <x:c r="A26" s="10" t="n">
        <x:f>ROW()-4</x:f>
        <x:v>22</x:v>
      </x:c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 ht="15" hidden="0" customHeight="1">
      <x:c r="A27" s="10" t="n">
        <x:f>ROW()-4</x:f>
        <x:v>23</x:v>
      </x:c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 ht="15" hidden="0" customHeight="1">
      <x:c r="A28" s="10" t="n">
        <x:f>ROW()-4</x:f>
        <x:v>24</x:v>
      </x:c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 ht="15" hidden="0" customHeight="1">
      <x:c r="A29" s="10" t="n">
        <x:f>ROW()-4</x:f>
        <x:v>25</x:v>
      </x:c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 ht="15" hidden="0" customHeight="1">
      <x:c r="A30" s="10" t="n">
        <x:f>ROW()-4</x:f>
        <x:v>26</x:v>
      </x:c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 ht="15" hidden="0" customHeight="1">
      <x:c r="A31" s="10" t="n">
        <x:f>ROW()-4</x:f>
        <x:v>27</x:v>
      </x:c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 ht="15" hidden="0" customHeight="1">
      <x:c r="A32" s="10" t="n">
        <x:f>ROW()-4</x:f>
        <x:v>28</x:v>
      </x:c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 ht="15" hidden="0" customHeight="1">
      <x:c r="A33" s="10" t="n">
        <x:f>ROW()-4</x:f>
        <x:v>29</x:v>
      </x:c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 ht="15" hidden="0" customHeight="1">
      <x:c r="A34" s="10" t="n">
        <x:f>ROW()-4</x:f>
        <x:v>30</x:v>
      </x:c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/>
    <x:row r="36" ht="15" hidden="0" customHeight="1">
      <x:c r="A36" s="8" t="str">
        <x:v>Control</x:v>
      </x:c>
      <x:c r="B36" s="8" t="str">
        <x:v>Result</x:v>
      </x:c>
    </x:row>
    <x:row r="37" ht="15" hidden="0" customHeight="1">
      <x:c r="A37" s="9" t="str">
        <x:v>Open binding blockers</x:v>
      </x:c>
      <x:c r="B37" s="9" t="n">
        <x:f>COUNTIFS(I5:I34,"Yes",J5:J34,"&lt;&gt;Resolved")</x:f>
        <x:v>0</x:v>
      </x:c>
    </x:row>
    <x:row r="38" ht="15" hidden="0" customHeight="1">
      <x:c r="A38" s="9" t="str">
        <x:v>Ready for agreement drafting</x:v>
      </x:c>
      <x:c r="B38" s="9" t="str">
        <x:f>IF(B37=0,"YES — SUBJECT TO HUMAN REVIEW","NO — RESOLVE BLOCKERS")</x:f>
        <x:v>YES — SUBJECT TO HUMAN REVIEW</x:v>
      </x:c>
    </x:row>
    <x:row r="39" ht="15" hidden="0" customHeight="1">
      <x:c r="A39" s="9" t="str">
        <x:v>Human reviewer</x:v>
      </x:c>
      <x:c r="B39" s="9" t="str"/>
    </x:row>
  </x:sheetData>
  <x:mergeCells>
    <x:mergeCell ref="A1:H1"/>
    <x:mergeCell ref="A2:H2"/>
  </x:mergeCells>
  <x:dataValidations count="3">
    <x:dataValidation type="list" sqref="B5:B34">
      <x:formula1>"CRITICAL,HIGH,MEDIUM,LOW"</x:formula1>
    </x:dataValidation>
    <x:dataValidation type="list" sqref="I5:I34">
      <x:formula1>"Yes,No"</x:formula1>
    </x:dataValidation>
    <x:dataValidation type="list" sqref="J5:J34">
      <x:formula1>"Open,Resolved,Not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APPROVED SUBCONTRACT SCHEDULE OF VALUES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Line</x:v>
      </x:c>
      <x:c r="B4" s="8" t="str">
        <x:v>Description</x:v>
      </x:c>
      <x:c r="C4" s="8" t="str">
        <x:v>Scheduled value</x:v>
      </x:c>
      <x:c r="D4" s="8" t="str">
        <x:v>Retainage %</x:v>
      </x:c>
      <x:c r="E4" s="8" t="str">
        <x:v>Source / proposal page</x:v>
      </x:c>
      <x:c r="F4" s="8" t="str">
        <x:v>Approved</x:v>
      </x:c>
    </x:row>
    <x:row r="5" ht="15" hidden="0" customHeight="1">
      <x:c r="A5" s="10" t="n">
        <x:f>ROW()-4</x:f>
        <x:v>1</x:v>
      </x:c>
      <x:c r="B5" s="10"/>
      <x:c r="C5" s="22"/>
      <x:c r="D5" s="23"/>
      <x:c r="E5" s="10"/>
      <x:c r="F5" s="10"/>
    </x:row>
    <x:row r="6" ht="15" hidden="0" customHeight="1">
      <x:c r="A6" s="10" t="n">
        <x:f>ROW()-4</x:f>
        <x:v>2</x:v>
      </x:c>
      <x:c r="B6" s="10"/>
      <x:c r="C6" s="22"/>
      <x:c r="D6" s="23"/>
      <x:c r="E6" s="10"/>
      <x:c r="F6" s="10"/>
    </x:row>
    <x:row r="7" ht="15" hidden="0" customHeight="1">
      <x:c r="A7" s="10" t="n">
        <x:f>ROW()-4</x:f>
        <x:v>3</x:v>
      </x:c>
      <x:c r="B7" s="10"/>
      <x:c r="C7" s="22"/>
      <x:c r="D7" s="23"/>
      <x:c r="E7" s="10"/>
      <x:c r="F7" s="10"/>
    </x:row>
    <x:row r="8" ht="15" hidden="0" customHeight="1">
      <x:c r="A8" s="10" t="n">
        <x:f>ROW()-4</x:f>
        <x:v>4</x:v>
      </x:c>
      <x:c r="B8" s="10"/>
      <x:c r="C8" s="22"/>
      <x:c r="D8" s="23"/>
      <x:c r="E8" s="10"/>
      <x:c r="F8" s="10"/>
    </x:row>
    <x:row r="9" ht="15" hidden="0" customHeight="1">
      <x:c r="A9" s="10" t="n">
        <x:f>ROW()-4</x:f>
        <x:v>5</x:v>
      </x:c>
      <x:c r="B9" s="10"/>
      <x:c r="C9" s="22"/>
      <x:c r="D9" s="23"/>
      <x:c r="E9" s="10"/>
      <x:c r="F9" s="10"/>
    </x:row>
    <x:row r="10" ht="15" hidden="0" customHeight="1">
      <x:c r="A10" s="10" t="n">
        <x:f>ROW()-4</x:f>
        <x:v>6</x:v>
      </x:c>
      <x:c r="B10" s="10"/>
      <x:c r="C10" s="22"/>
      <x:c r="D10" s="23"/>
      <x:c r="E10" s="10"/>
      <x:c r="F10" s="10"/>
    </x:row>
    <x:row r="11" ht="15" hidden="0" customHeight="1">
      <x:c r="A11" s="10" t="n">
        <x:f>ROW()-4</x:f>
        <x:v>7</x:v>
      </x:c>
      <x:c r="B11" s="10"/>
      <x:c r="C11" s="22"/>
      <x:c r="D11" s="23"/>
      <x:c r="E11" s="10"/>
      <x:c r="F11" s="10"/>
    </x:row>
    <x:row r="12" ht="15" hidden="0" customHeight="1">
      <x:c r="A12" s="10" t="n">
        <x:f>ROW()-4</x:f>
        <x:v>8</x:v>
      </x:c>
      <x:c r="B12" s="10"/>
      <x:c r="C12" s="22"/>
      <x:c r="D12" s="23"/>
      <x:c r="E12" s="10"/>
      <x:c r="F12" s="10"/>
    </x:row>
    <x:row r="13" ht="15" hidden="0" customHeight="1">
      <x:c r="A13" s="10" t="n">
        <x:f>ROW()-4</x:f>
        <x:v>9</x:v>
      </x:c>
      <x:c r="B13" s="10"/>
      <x:c r="C13" s="22"/>
      <x:c r="D13" s="23"/>
      <x:c r="E13" s="10"/>
      <x:c r="F13" s="10"/>
    </x:row>
    <x:row r="14" ht="15" hidden="0" customHeight="1">
      <x:c r="A14" s="10" t="n">
        <x:f>ROW()-4</x:f>
        <x:v>10</x:v>
      </x:c>
      <x:c r="B14" s="10"/>
      <x:c r="C14" s="22"/>
      <x:c r="D14" s="23"/>
      <x:c r="E14" s="10"/>
      <x:c r="F14" s="10"/>
    </x:row>
    <x:row r="15" ht="15" hidden="0" customHeight="1">
      <x:c r="A15" s="10" t="n">
        <x:f>ROW()-4</x:f>
        <x:v>11</x:v>
      </x:c>
      <x:c r="B15" s="10"/>
      <x:c r="C15" s="22"/>
      <x:c r="D15" s="23"/>
      <x:c r="E15" s="10"/>
      <x:c r="F15" s="10"/>
    </x:row>
    <x:row r="16" ht="15" hidden="0" customHeight="1">
      <x:c r="A16" s="10" t="n">
        <x:f>ROW()-4</x:f>
        <x:v>12</x:v>
      </x:c>
      <x:c r="B16" s="10"/>
      <x:c r="C16" s="22"/>
      <x:c r="D16" s="23"/>
      <x:c r="E16" s="10"/>
      <x:c r="F16" s="10"/>
    </x:row>
    <x:row r="17" ht="15" hidden="0" customHeight="1">
      <x:c r="A17" s="10" t="n">
        <x:f>ROW()-4</x:f>
        <x:v>13</x:v>
      </x:c>
      <x:c r="B17" s="10"/>
      <x:c r="C17" s="22"/>
      <x:c r="D17" s="23"/>
      <x:c r="E17" s="10"/>
      <x:c r="F17" s="10"/>
    </x:row>
    <x:row r="18" ht="15" hidden="0" customHeight="1">
      <x:c r="A18" s="10" t="n">
        <x:f>ROW()-4</x:f>
        <x:v>14</x:v>
      </x:c>
      <x:c r="B18" s="10"/>
      <x:c r="C18" s="22"/>
      <x:c r="D18" s="23"/>
      <x:c r="E18" s="10"/>
      <x:c r="F18" s="10"/>
    </x:row>
    <x:row r="19" ht="15" hidden="0" customHeight="1">
      <x:c r="A19" s="10" t="n">
        <x:f>ROW()-4</x:f>
        <x:v>15</x:v>
      </x:c>
      <x:c r="B19" s="10"/>
      <x:c r="C19" s="22"/>
      <x:c r="D19" s="23"/>
      <x:c r="E19" s="10"/>
      <x:c r="F19" s="10"/>
    </x:row>
    <x:row r="20" ht="15" hidden="0" customHeight="1">
      <x:c r="A20" s="10" t="n">
        <x:f>ROW()-4</x:f>
        <x:v>16</x:v>
      </x:c>
      <x:c r="B20" s="10"/>
      <x:c r="C20" s="22"/>
      <x:c r="D20" s="23"/>
      <x:c r="E20" s="10"/>
      <x:c r="F20" s="10"/>
    </x:row>
    <x:row r="21" ht="15" hidden="0" customHeight="1">
      <x:c r="A21" s="10" t="n">
        <x:f>ROW()-4</x:f>
        <x:v>17</x:v>
      </x:c>
      <x:c r="B21" s="10"/>
      <x:c r="C21" s="22"/>
      <x:c r="D21" s="23"/>
      <x:c r="E21" s="10"/>
      <x:c r="F21" s="10"/>
    </x:row>
    <x:row r="22" ht="15" hidden="0" customHeight="1">
      <x:c r="A22" s="10" t="n">
        <x:f>ROW()-4</x:f>
        <x:v>18</x:v>
      </x:c>
      <x:c r="B22" s="10"/>
      <x:c r="C22" s="22"/>
      <x:c r="D22" s="23"/>
      <x:c r="E22" s="10"/>
      <x:c r="F22" s="10"/>
    </x:row>
    <x:row r="23" ht="15" hidden="0" customHeight="1">
      <x:c r="A23" s="10" t="n">
        <x:f>ROW()-4</x:f>
        <x:v>19</x:v>
      </x:c>
      <x:c r="B23" s="10"/>
      <x:c r="C23" s="22"/>
      <x:c r="D23" s="23"/>
      <x:c r="E23" s="10"/>
      <x:c r="F23" s="10"/>
    </x:row>
    <x:row r="24" ht="15" hidden="0" customHeight="1">
      <x:c r="A24" s="10" t="n">
        <x:f>ROW()-4</x:f>
        <x:v>20</x:v>
      </x:c>
      <x:c r="B24" s="10"/>
      <x:c r="C24" s="22"/>
      <x:c r="D24" s="23"/>
      <x:c r="E24" s="10"/>
      <x:c r="F24" s="10"/>
    </x:row>
    <x:row r="25" ht="15" hidden="0" customHeight="1">
      <x:c r="A25" s="10" t="n">
        <x:f>ROW()-4</x:f>
        <x:v>21</x:v>
      </x:c>
      <x:c r="B25" s="10"/>
      <x:c r="C25" s="22"/>
      <x:c r="D25" s="23"/>
      <x:c r="E25" s="10"/>
      <x:c r="F25" s="10"/>
    </x:row>
    <x:row r="26" ht="15" hidden="0" customHeight="1">
      <x:c r="A26" s="10" t="n">
        <x:f>ROW()-4</x:f>
        <x:v>22</x:v>
      </x:c>
      <x:c r="B26" s="10"/>
      <x:c r="C26" s="22"/>
      <x:c r="D26" s="23"/>
      <x:c r="E26" s="10"/>
      <x:c r="F26" s="10"/>
    </x:row>
    <x:row r="27" ht="15" hidden="0" customHeight="1">
      <x:c r="A27" s="10" t="n">
        <x:f>ROW()-4</x:f>
        <x:v>23</x:v>
      </x:c>
      <x:c r="B27" s="10"/>
      <x:c r="C27" s="22"/>
      <x:c r="D27" s="23"/>
      <x:c r="E27" s="10"/>
      <x:c r="F27" s="10"/>
    </x:row>
    <x:row r="28" ht="15" hidden="0" customHeight="1">
      <x:c r="A28" s="10" t="n">
        <x:f>ROW()-4</x:f>
        <x:v>24</x:v>
      </x:c>
      <x:c r="B28" s="10"/>
      <x:c r="C28" s="22"/>
      <x:c r="D28" s="23"/>
      <x:c r="E28" s="10"/>
      <x:c r="F28" s="10"/>
    </x:row>
    <x:row r="29" ht="15" hidden="0" customHeight="1">
      <x:c r="A29" s="10" t="n">
        <x:f>ROW()-4</x:f>
        <x:v>25</x:v>
      </x:c>
      <x:c r="B29" s="10"/>
      <x:c r="C29" s="22"/>
      <x:c r="D29" s="23"/>
      <x:c r="E29" s="10"/>
      <x:c r="F29" s="10"/>
    </x:row>
    <x:row r="30" ht="15" hidden="0" customHeight="1">
      <x:c r="A30" s="10" t="n">
        <x:f>ROW()-4</x:f>
        <x:v>26</x:v>
      </x:c>
      <x:c r="B30" s="10"/>
      <x:c r="C30" s="22"/>
      <x:c r="D30" s="23"/>
      <x:c r="E30" s="10"/>
      <x:c r="F30" s="10"/>
    </x:row>
    <x:row r="31" ht="15" hidden="0" customHeight="1">
      <x:c r="A31" s="10" t="n">
        <x:f>ROW()-4</x:f>
        <x:v>27</x:v>
      </x:c>
      <x:c r="B31" s="10"/>
      <x:c r="C31" s="22"/>
      <x:c r="D31" s="23"/>
      <x:c r="E31" s="10"/>
      <x:c r="F31" s="10"/>
    </x:row>
    <x:row r="32" ht="15" hidden="0" customHeight="1">
      <x:c r="A32" s="10" t="n">
        <x:f>ROW()-4</x:f>
        <x:v>28</x:v>
      </x:c>
      <x:c r="B32" s="10"/>
      <x:c r="C32" s="22"/>
      <x:c r="D32" s="23"/>
      <x:c r="E32" s="10"/>
      <x:c r="F32" s="10"/>
    </x:row>
    <x:row r="33" ht="15" hidden="0" customHeight="1">
      <x:c r="A33" s="10" t="n">
        <x:f>ROW()-4</x:f>
        <x:v>29</x:v>
      </x:c>
      <x:c r="B33" s="10"/>
      <x:c r="C33" s="22"/>
      <x:c r="D33" s="23"/>
      <x:c r="E33" s="10"/>
      <x:c r="F33" s="10"/>
    </x:row>
    <x:row r="34" ht="15" hidden="0" customHeight="1">
      <x:c r="A34" s="10" t="n">
        <x:f>ROW()-4</x:f>
        <x:v>30</x:v>
      </x:c>
      <x:c r="B34" s="10"/>
      <x:c r="C34" s="22"/>
      <x:c r="D34" s="23"/>
      <x:c r="E34" s="10"/>
      <x:c r="F34" s="10"/>
    </x:row>
    <x:row r="35" ht="15" hidden="0" customHeight="1">
      <x:c r="A35" s="10" t="n">
        <x:f>ROW()-4</x:f>
        <x:v>31</x:v>
      </x:c>
      <x:c r="B35" s="10"/>
      <x:c r="C35" s="22"/>
      <x:c r="D35" s="23"/>
      <x:c r="E35" s="10"/>
      <x:c r="F35" s="10"/>
    </x:row>
    <x:row r="36" ht="15" hidden="0" customHeight="1">
      <x:c r="A36" s="10" t="n">
        <x:f>ROW()-4</x:f>
        <x:v>32</x:v>
      </x:c>
      <x:c r="B36" s="10"/>
      <x:c r="C36" s="22"/>
      <x:c r="D36" s="23"/>
      <x:c r="E36" s="10"/>
      <x:c r="F36" s="10"/>
    </x:row>
    <x:row r="37" ht="15" hidden="0" customHeight="1">
      <x:c r="A37" s="10" t="n">
        <x:f>ROW()-4</x:f>
        <x:v>33</x:v>
      </x:c>
      <x:c r="B37" s="10"/>
      <x:c r="C37" s="22"/>
      <x:c r="D37" s="23"/>
      <x:c r="E37" s="10"/>
      <x:c r="F37" s="10"/>
    </x:row>
    <x:row r="38" ht="15" hidden="0" customHeight="1">
      <x:c r="A38" s="10" t="n">
        <x:f>ROW()-4</x:f>
        <x:v>34</x:v>
      </x:c>
      <x:c r="B38" s="10"/>
      <x:c r="C38" s="22"/>
      <x:c r="D38" s="23"/>
      <x:c r="E38" s="10"/>
      <x:c r="F38" s="10"/>
    </x:row>
    <x:row r="39" ht="15" hidden="0" customHeight="1">
      <x:c r="A39" s="10" t="n">
        <x:f>ROW()-4</x:f>
        <x:v>35</x:v>
      </x:c>
      <x:c r="B39" s="10"/>
      <x:c r="C39" s="22"/>
      <x:c r="D39" s="23"/>
      <x:c r="E39" s="10"/>
      <x:c r="F39" s="10"/>
    </x:row>
    <x:row r="40" ht="15" hidden="0" customHeight="1">
      <x:c r="A40" s="10" t="n">
        <x:f>ROW()-4</x:f>
        <x:v>36</x:v>
      </x:c>
      <x:c r="B40" s="10"/>
      <x:c r="C40" s="22"/>
      <x:c r="D40" s="23"/>
      <x:c r="E40" s="10"/>
      <x:c r="F40" s="10"/>
    </x:row>
    <x:row r="41" ht="15" hidden="0" customHeight="1">
      <x:c r="A41" s="10" t="n">
        <x:f>ROW()-4</x:f>
        <x:v>37</x:v>
      </x:c>
      <x:c r="B41" s="10"/>
      <x:c r="C41" s="22"/>
      <x:c r="D41" s="23"/>
      <x:c r="E41" s="10"/>
      <x:c r="F41" s="10"/>
    </x:row>
    <x:row r="42" ht="15" hidden="0" customHeight="1">
      <x:c r="A42" s="10" t="n">
        <x:f>ROW()-4</x:f>
        <x:v>38</x:v>
      </x:c>
      <x:c r="B42" s="10"/>
      <x:c r="C42" s="22"/>
      <x:c r="D42" s="23"/>
      <x:c r="E42" s="10"/>
      <x:c r="F42" s="10"/>
    </x:row>
    <x:row r="43" ht="15" hidden="0" customHeight="1">
      <x:c r="A43" s="10" t="n">
        <x:f>ROW()-4</x:f>
        <x:v>39</x:v>
      </x:c>
      <x:c r="B43" s="10"/>
      <x:c r="C43" s="22"/>
      <x:c r="D43" s="23"/>
      <x:c r="E43" s="10"/>
      <x:c r="F43" s="10"/>
    </x:row>
    <x:row r="44" ht="15" hidden="0" customHeight="1">
      <x:c r="A44" s="10" t="n">
        <x:f>ROW()-4</x:f>
        <x:v>40</x:v>
      </x:c>
      <x:c r="B44" s="10"/>
      <x:c r="C44" s="22"/>
      <x:c r="D44" s="23"/>
      <x:c r="E44" s="10"/>
      <x:c r="F44" s="10"/>
    </x:row>
    <x:row r="45"/>
    <x:row r="46" ht="15" hidden="0" customHeight="1">
      <x:c r="B46" s="8" t="str">
        <x:v>SOV total</x:v>
      </x:c>
      <x:c r="C46" s="24" t="n">
        <x:f>SUM(C5:C44)</x:f>
        <x:v>0</x:v>
      </x:c>
    </x:row>
    <x:row r="47" ht="15" hidden="0" customHeight="1">
      <x:c r="B47" s="8" t="str">
        <x:v>Agreement amount</x:v>
      </x:c>
      <x:c r="C47" s="24" t="n">
        <x:f>'Agreement Data'!B11</x:f>
        <x:v>0</x:v>
      </x:c>
    </x:row>
    <x:row r="48" ht="15" hidden="0" customHeight="1">
      <x:c r="B48" s="8" t="str">
        <x:v>Variance</x:v>
      </x:c>
      <x:c r="C48" s="24" t="n">
        <x:f>C46-C47</x:f>
        <x:v>0</x:v>
      </x:c>
    </x:row>
    <x:row r="49" ht="15" hidden="0" customHeight="1">
      <x:c r="B49" s="8" t="str">
        <x:v>Ready for first pay app</x:v>
      </x:c>
      <x:c r="C49" t="str">
        <x:f>IF(AND(C47&gt;0,COUNTIF(B5:B44,"&lt;&gt;")&gt;0,ABS(C48)&lt;0.01,COUNTIFS(B5:B44,"&lt;&gt;",F5:F44,"&lt;&gt;Yes")=0),"YES","NO")</x:f>
        <x:v>NO</x:v>
      </x:c>
    </x:row>
  </x:sheetData>
  <x:mergeCells>
    <x:mergeCell ref="A1:H1"/>
    <x:mergeCell ref="A2:H2"/>
  </x:mergeCells>
  <x:dataValidations count="1">
    <x:dataValidation type="list" sqref="F5:F44">
      <x:formula1>"No,Yes"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4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SUBCONTRACT APPLICATION AND CERTIFICATE FOR PAYMENT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Application field</x:v>
      </x:c>
      <x:c r="B4" s="8" t="str">
        <x:v>Value</x:v>
      </x:c>
    </x:row>
    <x:row r="5" ht="15" hidden="0" customHeight="1">
      <x:c r="A5" t="str">
        <x:v>Application number</x:v>
      </x:c>
      <x:c r="B5" s="16" t="n">
        <x:v>1</x:v>
      </x:c>
    </x:row>
    <x:row r="6" ht="15" hidden="0" customHeight="1">
      <x:c r="A6" t="str">
        <x:v>Period start</x:v>
      </x:c>
      <x:c r="B6" s="16" t="str"/>
    </x:row>
    <x:row r="7" ht="15" hidden="0" customHeight="1">
      <x:c r="A7" t="str">
        <x:v>Period end</x:v>
      </x:c>
      <x:c r="B7" s="16" t="str"/>
    </x:row>
    <x:row r="8" ht="15" hidden="0" customHeight="1">
      <x:c r="A8" t="str">
        <x:v>Application date</x:v>
      </x:c>
      <x:c r="B8" s="16" t="str"/>
    </x:row>
    <x:row r="9" ht="15" hidden="0" customHeight="1">
      <x:c r="A9" t="str">
        <x:v>Original subcontract amount</x:v>
      </x:c>
      <x:c r="B9" s="17" t="n">
        <x:f>'Agreement Data'!B11</x:f>
        <x:v>0</x:v>
      </x:c>
    </x:row>
    <x:row r="10" ht="15" hidden="0" customHeight="1">
      <x:c r="A10" t="str">
        <x:v>Net approved changes</x:v>
      </x:c>
      <x:c r="B10" s="17" t="n">
        <x:v>0</x:v>
      </x:c>
    </x:row>
    <x:row r="11" ht="15" hidden="0" customHeight="1">
      <x:c r="A11" t="str">
        <x:v>Current subcontract sum</x:v>
      </x:c>
      <x:c r="B11" s="24" t="n">
        <x:f>B9+B10</x:f>
        <x:v>0</x:v>
      </x:c>
    </x:row>
    <x:row r="12" ht="15" hidden="0" customHeight="1">
      <x:c r="A12" t="str">
        <x:v>Completed and stored to date</x:v>
      </x:c>
      <x:c r="B12" s="24" t="n">
        <x:f>'Continuation Sheet'!H46</x:f>
        <x:v>0</x:v>
      </x:c>
    </x:row>
    <x:row r="13" ht="15" hidden="0" customHeight="1">
      <x:c r="A13" t="str">
        <x:v>Retainage</x:v>
      </x:c>
      <x:c r="B13" s="24" t="n">
        <x:f>'Continuation Sheet'!I46</x:f>
        <x:v>0</x:v>
      </x:c>
    </x:row>
    <x:row r="14" ht="15" hidden="0" customHeight="1">
      <x:c r="A14" t="str">
        <x:v>Less previous certificates</x:v>
      </x:c>
      <x:c r="B14" s="24" t="n">
        <x:v>0</x:v>
      </x:c>
    </x:row>
    <x:row r="15" ht="15" hidden="0" customHeight="1">
      <x:c r="B15" s="24"/>
    </x:row>
    <x:row r="16" ht="15" hidden="0" customHeight="1">
      <x:c r="A16" s="8" t="str">
        <x:v>Calculated result</x:v>
      </x:c>
      <x:c r="B16" s="27" t="str">
        <x:v>Amount</x:v>
      </x:c>
    </x:row>
    <x:row r="17" ht="15" hidden="0" customHeight="1">
      <x:c r="A17" t="str">
        <x:v>Total earned less retainage</x:v>
      </x:c>
      <x:c r="B17" s="24" t="n">
        <x:f>B12-B13</x:f>
        <x:v>0</x:v>
      </x:c>
    </x:row>
    <x:row r="18" ht="15" hidden="0" customHeight="1">
      <x:c r="A18" t="str">
        <x:v>Current payment due</x:v>
      </x:c>
      <x:c r="B18" s="24" t="n">
        <x:f>B17-B14</x:f>
        <x:v>0</x:v>
      </x:c>
    </x:row>
    <x:row r="19" ht="15" hidden="0" customHeight="1">
      <x:c r="A19" t="str">
        <x:v>Balance to finish including retainage</x:v>
      </x:c>
      <x:c r="B19" s="24" t="n">
        <x:f>B11-B12+B13</x:f>
        <x:v>0</x:v>
      </x:c>
    </x:row>
    <x:row r="20"/>
    <x:row r="21"/>
    <x:row r="22">
      <x:c r="A22" s="13" t="str">
        <x:v>DRAFT — NOT FOR SUBMISSION. SCOS does not certify, sign, notarize, issue, upload, email, or authorize payment from this workbook.</x:v>
      </x:c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</x:sheetData>
  <x:mergeCells>
    <x:mergeCell ref="A1:H1"/>
    <x:mergeCell ref="A2:H2"/>
    <x:mergeCell ref="A22:H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8" hidden="0" customHeight="1">
      <x:c r="A1" s="2" t="str">
        <x:v>SCOS | SEBANKS CONSTRUCTION OPERATIONS SYSTEM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SUBCONTRACT PAY APPLICATION — CONTINUATION SHEET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Line</x:v>
      </x:c>
      <x:c r="B4" s="8" t="str">
        <x:v>Description</x:v>
      </x:c>
      <x:c r="C4" s="8" t="str">
        <x:v>Scheduled value</x:v>
      </x:c>
      <x:c r="D4" s="8" t="str">
        <x:v>Prior work</x:v>
      </x:c>
      <x:c r="E4" s="8" t="str">
        <x:v>Prior stored</x:v>
      </x:c>
      <x:c r="F4" s="8" t="str">
        <x:v>Current work</x:v>
      </x:c>
      <x:c r="G4" s="8" t="str">
        <x:v>Current stored</x:v>
      </x:c>
      <x:c r="H4" s="8" t="str">
        <x:v>Completed + stored</x:v>
      </x:c>
      <x:c r="I4" s="8" t="str">
        <x:v>Retainage</x:v>
      </x:c>
      <x:c r="J4" s="8" t="str">
        <x:v>Current due</x:v>
      </x:c>
      <x:c r="K4" s="8" t="str">
        <x:v>Balance</x:v>
      </x:c>
    </x:row>
    <x:row r="5" ht="15" hidden="0" customHeight="1">
      <x:c r="A5" s="10" t="str">
        <x:f>IF('Schedule of Values'!B5="","",'Schedule of Values'!A5)</x:f>
      </x:c>
      <x:c r="B5" s="10" t="str">
        <x:f>IF('Schedule of Values'!B5="","",'Schedule of Values'!B5)</x:f>
      </x:c>
      <x:c r="C5" s="22" t="str">
        <x:f>IF('Schedule of Values'!B5="","",'Schedule of Values'!C5)</x:f>
      </x:c>
      <x:c r="D5" s="17"/>
      <x:c r="E5" s="17"/>
      <x:c r="F5" s="17"/>
      <x:c r="G5" s="17"/>
      <x:c r="H5" s="22" t="n">
        <x:f>SUM(D5:G5)</x:f>
        <x:v>0</x:v>
      </x:c>
      <x:c r="I5" s="22" t="n">
        <x:f>H5*'Schedule of Values'!D5</x:f>
        <x:v>0</x:v>
      </x:c>
      <x:c r="J5" s="22" t="n">
        <x:f>F5+G5-(I5-(D5+E5)*'Schedule of Values'!D5)</x:f>
        <x:v>0</x:v>
      </x:c>
      <x:c r="K5" s="22" t="n">
        <x:f>C5-H5+I5</x:f>
        <x:v>0</x:v>
      </x:c>
    </x:row>
    <x:row r="6" ht="15" hidden="0" customHeight="1">
      <x:c r="A6" s="10" t="str">
        <x:f>IF('Schedule of Values'!B6="","",'Schedule of Values'!A6)</x:f>
      </x:c>
      <x:c r="B6" s="10" t="str">
        <x:f>IF('Schedule of Values'!B6="","",'Schedule of Values'!B6)</x:f>
      </x:c>
      <x:c r="C6" s="22" t="str">
        <x:f>IF('Schedule of Values'!B6="","",'Schedule of Values'!C6)</x:f>
      </x:c>
      <x:c r="D6" s="17"/>
      <x:c r="E6" s="17"/>
      <x:c r="F6" s="17"/>
      <x:c r="G6" s="17"/>
      <x:c r="H6" s="22" t="n">
        <x:f>SUM(D6:G6)</x:f>
        <x:v>0</x:v>
      </x:c>
      <x:c r="I6" s="22" t="n">
        <x:f>H6*'Schedule of Values'!D6</x:f>
        <x:v>0</x:v>
      </x:c>
      <x:c r="J6" s="22" t="n">
        <x:f>F6+G6-(I6-(D6+E6)*'Schedule of Values'!D6)</x:f>
        <x:v>0</x:v>
      </x:c>
      <x:c r="K6" s="22" t="n">
        <x:f>C6-H6+I6</x:f>
        <x:v>0</x:v>
      </x:c>
    </x:row>
    <x:row r="7" ht="15" hidden="0" customHeight="1">
      <x:c r="A7" s="10" t="str">
        <x:f>IF('Schedule of Values'!B7="","",'Schedule of Values'!A7)</x:f>
      </x:c>
      <x:c r="B7" s="10" t="str">
        <x:f>IF('Schedule of Values'!B7="","",'Schedule of Values'!B7)</x:f>
      </x:c>
      <x:c r="C7" s="22" t="str">
        <x:f>IF('Schedule of Values'!B7="","",'Schedule of Values'!C7)</x:f>
      </x:c>
      <x:c r="D7" s="17"/>
      <x:c r="E7" s="17"/>
      <x:c r="F7" s="17"/>
      <x:c r="G7" s="17"/>
      <x:c r="H7" s="22" t="n">
        <x:f>SUM(D7:G7)</x:f>
        <x:v>0</x:v>
      </x:c>
      <x:c r="I7" s="22" t="n">
        <x:f>H7*'Schedule of Values'!D7</x:f>
        <x:v>0</x:v>
      </x:c>
      <x:c r="J7" s="22" t="n">
        <x:f>F7+G7-(I7-(D7+E7)*'Schedule of Values'!D7)</x:f>
        <x:v>0</x:v>
      </x:c>
      <x:c r="K7" s="22" t="n">
        <x:f>C7-H7+I7</x:f>
        <x:v>0</x:v>
      </x:c>
    </x:row>
    <x:row r="8" ht="15" hidden="0" customHeight="1">
      <x:c r="A8" s="10" t="str">
        <x:f>IF('Schedule of Values'!B8="","",'Schedule of Values'!A8)</x:f>
      </x:c>
      <x:c r="B8" s="10" t="str">
        <x:f>IF('Schedule of Values'!B8="","",'Schedule of Values'!B8)</x:f>
      </x:c>
      <x:c r="C8" s="22" t="str">
        <x:f>IF('Schedule of Values'!B8="","",'Schedule of Values'!C8)</x:f>
      </x:c>
      <x:c r="D8" s="17"/>
      <x:c r="E8" s="17"/>
      <x:c r="F8" s="17"/>
      <x:c r="G8" s="17"/>
      <x:c r="H8" s="22" t="n">
        <x:f>SUM(D8:G8)</x:f>
        <x:v>0</x:v>
      </x:c>
      <x:c r="I8" s="22" t="n">
        <x:f>H8*'Schedule of Values'!D8</x:f>
        <x:v>0</x:v>
      </x:c>
      <x:c r="J8" s="22" t="n">
        <x:f>F8+G8-(I8-(D8+E8)*'Schedule of Values'!D8)</x:f>
        <x:v>0</x:v>
      </x:c>
      <x:c r="K8" s="22" t="n">
        <x:f>C8-H8+I8</x:f>
        <x:v>0</x:v>
      </x:c>
    </x:row>
    <x:row r="9" ht="15" hidden="0" customHeight="1">
      <x:c r="A9" s="10" t="str">
        <x:f>IF('Schedule of Values'!B9="","",'Schedule of Values'!A9)</x:f>
      </x:c>
      <x:c r="B9" s="10" t="str">
        <x:f>IF('Schedule of Values'!B9="","",'Schedule of Values'!B9)</x:f>
      </x:c>
      <x:c r="C9" s="22" t="str">
        <x:f>IF('Schedule of Values'!B9="","",'Schedule of Values'!C9)</x:f>
      </x:c>
      <x:c r="D9" s="17"/>
      <x:c r="E9" s="17"/>
      <x:c r="F9" s="17"/>
      <x:c r="G9" s="17"/>
      <x:c r="H9" s="22" t="n">
        <x:f>SUM(D9:G9)</x:f>
        <x:v>0</x:v>
      </x:c>
      <x:c r="I9" s="22" t="n">
        <x:f>H9*'Schedule of Values'!D9</x:f>
        <x:v>0</x:v>
      </x:c>
      <x:c r="J9" s="22" t="n">
        <x:f>F9+G9-(I9-(D9+E9)*'Schedule of Values'!D9)</x:f>
        <x:v>0</x:v>
      </x:c>
      <x:c r="K9" s="22" t="n">
        <x:f>C9-H9+I9</x:f>
        <x:v>0</x:v>
      </x:c>
    </x:row>
    <x:row r="10" ht="15" hidden="0" customHeight="1">
      <x:c r="A10" s="10" t="str">
        <x:f>IF('Schedule of Values'!B10="","",'Schedule of Values'!A10)</x:f>
      </x:c>
      <x:c r="B10" s="10" t="str">
        <x:f>IF('Schedule of Values'!B10="","",'Schedule of Values'!B10)</x:f>
      </x:c>
      <x:c r="C10" s="22" t="str">
        <x:f>IF('Schedule of Values'!B10="","",'Schedule of Values'!C10)</x:f>
      </x:c>
      <x:c r="D10" s="17"/>
      <x:c r="E10" s="17"/>
      <x:c r="F10" s="17"/>
      <x:c r="G10" s="17"/>
      <x:c r="H10" s="22" t="n">
        <x:f>SUM(D10:G10)</x:f>
        <x:v>0</x:v>
      </x:c>
      <x:c r="I10" s="22" t="n">
        <x:f>H10*'Schedule of Values'!D10</x:f>
        <x:v>0</x:v>
      </x:c>
      <x:c r="J10" s="22" t="n">
        <x:f>F10+G10-(I10-(D10+E10)*'Schedule of Values'!D10)</x:f>
        <x:v>0</x:v>
      </x:c>
      <x:c r="K10" s="22" t="n">
        <x:f>C10-H10+I10</x:f>
        <x:v>0</x:v>
      </x:c>
    </x:row>
    <x:row r="11" ht="15" hidden="0" customHeight="1">
      <x:c r="A11" s="10" t="str">
        <x:f>IF('Schedule of Values'!B11="","",'Schedule of Values'!A11)</x:f>
      </x:c>
      <x:c r="B11" s="10" t="str">
        <x:f>IF('Schedule of Values'!B11="","",'Schedule of Values'!B11)</x:f>
      </x:c>
      <x:c r="C11" s="22" t="str">
        <x:f>IF('Schedule of Values'!B11="","",'Schedule of Values'!C11)</x:f>
      </x:c>
      <x:c r="D11" s="17"/>
      <x:c r="E11" s="17"/>
      <x:c r="F11" s="17"/>
      <x:c r="G11" s="17"/>
      <x:c r="H11" s="22" t="n">
        <x:f>SUM(D11:G11)</x:f>
        <x:v>0</x:v>
      </x:c>
      <x:c r="I11" s="22" t="n">
        <x:f>H11*'Schedule of Values'!D11</x:f>
        <x:v>0</x:v>
      </x:c>
      <x:c r="J11" s="22" t="n">
        <x:f>F11+G11-(I11-(D11+E11)*'Schedule of Values'!D11)</x:f>
        <x:v>0</x:v>
      </x:c>
      <x:c r="K11" s="22" t="n">
        <x:f>C11-H11+I11</x:f>
        <x:v>0</x:v>
      </x:c>
    </x:row>
    <x:row r="12" ht="15" hidden="0" customHeight="1">
      <x:c r="A12" s="10" t="str">
        <x:f>IF('Schedule of Values'!B12="","",'Schedule of Values'!A12)</x:f>
      </x:c>
      <x:c r="B12" s="10" t="str">
        <x:f>IF('Schedule of Values'!B12="","",'Schedule of Values'!B12)</x:f>
      </x:c>
      <x:c r="C12" s="22" t="str">
        <x:f>IF('Schedule of Values'!B12="","",'Schedule of Values'!C12)</x:f>
      </x:c>
      <x:c r="D12" s="17"/>
      <x:c r="E12" s="17"/>
      <x:c r="F12" s="17"/>
      <x:c r="G12" s="17"/>
      <x:c r="H12" s="22" t="n">
        <x:f>SUM(D12:G12)</x:f>
        <x:v>0</x:v>
      </x:c>
      <x:c r="I12" s="22" t="n">
        <x:f>H12*'Schedule of Values'!D12</x:f>
        <x:v>0</x:v>
      </x:c>
      <x:c r="J12" s="22" t="n">
        <x:f>F12+G12-(I12-(D12+E12)*'Schedule of Values'!D12)</x:f>
        <x:v>0</x:v>
      </x:c>
      <x:c r="K12" s="22" t="n">
        <x:f>C12-H12+I12</x:f>
        <x:v>0</x:v>
      </x:c>
    </x:row>
    <x:row r="13" ht="15" hidden="0" customHeight="1">
      <x:c r="A13" s="10" t="str">
        <x:f>IF('Schedule of Values'!B13="","",'Schedule of Values'!A13)</x:f>
      </x:c>
      <x:c r="B13" s="10" t="str">
        <x:f>IF('Schedule of Values'!B13="","",'Schedule of Values'!B13)</x:f>
      </x:c>
      <x:c r="C13" s="22" t="str">
        <x:f>IF('Schedule of Values'!B13="","",'Schedule of Values'!C13)</x:f>
      </x:c>
      <x:c r="D13" s="17"/>
      <x:c r="E13" s="17"/>
      <x:c r="F13" s="17"/>
      <x:c r="G13" s="17"/>
      <x:c r="H13" s="22" t="n">
        <x:f>SUM(D13:G13)</x:f>
        <x:v>0</x:v>
      </x:c>
      <x:c r="I13" s="22" t="n">
        <x:f>H13*'Schedule of Values'!D13</x:f>
        <x:v>0</x:v>
      </x:c>
      <x:c r="J13" s="22" t="n">
        <x:f>F13+G13-(I13-(D13+E13)*'Schedule of Values'!D13)</x:f>
        <x:v>0</x:v>
      </x:c>
      <x:c r="K13" s="22" t="n">
        <x:f>C13-H13+I13</x:f>
        <x:v>0</x:v>
      </x:c>
    </x:row>
    <x:row r="14" ht="15" hidden="0" customHeight="1">
      <x:c r="A14" s="10" t="str">
        <x:f>IF('Schedule of Values'!B14="","",'Schedule of Values'!A14)</x:f>
      </x:c>
      <x:c r="B14" s="10" t="str">
        <x:f>IF('Schedule of Values'!B14="","",'Schedule of Values'!B14)</x:f>
      </x:c>
      <x:c r="C14" s="22" t="str">
        <x:f>IF('Schedule of Values'!B14="","",'Schedule of Values'!C14)</x:f>
      </x:c>
      <x:c r="D14" s="17"/>
      <x:c r="E14" s="17"/>
      <x:c r="F14" s="17"/>
      <x:c r="G14" s="17"/>
      <x:c r="H14" s="22" t="n">
        <x:f>SUM(D14:G14)</x:f>
        <x:v>0</x:v>
      </x:c>
      <x:c r="I14" s="22" t="n">
        <x:f>H14*'Schedule of Values'!D14</x:f>
        <x:v>0</x:v>
      </x:c>
      <x:c r="J14" s="22" t="n">
        <x:f>F14+G14-(I14-(D14+E14)*'Schedule of Values'!D14)</x:f>
        <x:v>0</x:v>
      </x:c>
      <x:c r="K14" s="22" t="n">
        <x:f>C14-H14+I14</x:f>
        <x:v>0</x:v>
      </x:c>
    </x:row>
    <x:row r="15" ht="15" hidden="0" customHeight="1">
      <x:c r="A15" s="10" t="str">
        <x:f>IF('Schedule of Values'!B15="","",'Schedule of Values'!A15)</x:f>
      </x:c>
      <x:c r="B15" s="10" t="str">
        <x:f>IF('Schedule of Values'!B15="","",'Schedule of Values'!B15)</x:f>
      </x:c>
      <x:c r="C15" s="22" t="str">
        <x:f>IF('Schedule of Values'!B15="","",'Schedule of Values'!C15)</x:f>
      </x:c>
      <x:c r="D15" s="17"/>
      <x:c r="E15" s="17"/>
      <x:c r="F15" s="17"/>
      <x:c r="G15" s="17"/>
      <x:c r="H15" s="22" t="n">
        <x:f>SUM(D15:G15)</x:f>
        <x:v>0</x:v>
      </x:c>
      <x:c r="I15" s="22" t="n">
        <x:f>H15*'Schedule of Values'!D15</x:f>
        <x:v>0</x:v>
      </x:c>
      <x:c r="J15" s="22" t="n">
        <x:f>F15+G15-(I15-(D15+E15)*'Schedule of Values'!D15)</x:f>
        <x:v>0</x:v>
      </x:c>
      <x:c r="K15" s="22" t="n">
        <x:f>C15-H15+I15</x:f>
        <x:v>0</x:v>
      </x:c>
    </x:row>
    <x:row r="16" ht="15" hidden="0" customHeight="1">
      <x:c r="A16" s="10" t="str">
        <x:f>IF('Schedule of Values'!B16="","",'Schedule of Values'!A16)</x:f>
      </x:c>
      <x:c r="B16" s="10" t="str">
        <x:f>IF('Schedule of Values'!B16="","",'Schedule of Values'!B16)</x:f>
      </x:c>
      <x:c r="C16" s="22" t="str">
        <x:f>IF('Schedule of Values'!B16="","",'Schedule of Values'!C16)</x:f>
      </x:c>
      <x:c r="D16" s="17"/>
      <x:c r="E16" s="17"/>
      <x:c r="F16" s="17"/>
      <x:c r="G16" s="17"/>
      <x:c r="H16" s="22" t="n">
        <x:f>SUM(D16:G16)</x:f>
        <x:v>0</x:v>
      </x:c>
      <x:c r="I16" s="22" t="n">
        <x:f>H16*'Schedule of Values'!D16</x:f>
        <x:v>0</x:v>
      </x:c>
      <x:c r="J16" s="22" t="n">
        <x:f>F16+G16-(I16-(D16+E16)*'Schedule of Values'!D16)</x:f>
        <x:v>0</x:v>
      </x:c>
      <x:c r="K16" s="22" t="n">
        <x:f>C16-H16+I16</x:f>
        <x:v>0</x:v>
      </x:c>
    </x:row>
    <x:row r="17" ht="15" hidden="0" customHeight="1">
      <x:c r="A17" s="10" t="str">
        <x:f>IF('Schedule of Values'!B17="","",'Schedule of Values'!A17)</x:f>
      </x:c>
      <x:c r="B17" s="10" t="str">
        <x:f>IF('Schedule of Values'!B17="","",'Schedule of Values'!B17)</x:f>
      </x:c>
      <x:c r="C17" s="22" t="str">
        <x:f>IF('Schedule of Values'!B17="","",'Schedule of Values'!C17)</x:f>
      </x:c>
      <x:c r="D17" s="17"/>
      <x:c r="E17" s="17"/>
      <x:c r="F17" s="17"/>
      <x:c r="G17" s="17"/>
      <x:c r="H17" s="22" t="n">
        <x:f>SUM(D17:G17)</x:f>
        <x:v>0</x:v>
      </x:c>
      <x:c r="I17" s="22" t="n">
        <x:f>H17*'Schedule of Values'!D17</x:f>
        <x:v>0</x:v>
      </x:c>
      <x:c r="J17" s="22" t="n">
        <x:f>F17+G17-(I17-(D17+E17)*'Schedule of Values'!D17)</x:f>
        <x:v>0</x:v>
      </x:c>
      <x:c r="K17" s="22" t="n">
        <x:f>C17-H17+I17</x:f>
        <x:v>0</x:v>
      </x:c>
    </x:row>
    <x:row r="18" ht="15" hidden="0" customHeight="1">
      <x:c r="A18" s="10" t="str">
        <x:f>IF('Schedule of Values'!B18="","",'Schedule of Values'!A18)</x:f>
      </x:c>
      <x:c r="B18" s="10" t="str">
        <x:f>IF('Schedule of Values'!B18="","",'Schedule of Values'!B18)</x:f>
      </x:c>
      <x:c r="C18" s="22" t="str">
        <x:f>IF('Schedule of Values'!B18="","",'Schedule of Values'!C18)</x:f>
      </x:c>
      <x:c r="D18" s="17"/>
      <x:c r="E18" s="17"/>
      <x:c r="F18" s="17"/>
      <x:c r="G18" s="17"/>
      <x:c r="H18" s="22" t="n">
        <x:f>SUM(D18:G18)</x:f>
        <x:v>0</x:v>
      </x:c>
      <x:c r="I18" s="22" t="n">
        <x:f>H18*'Schedule of Values'!D18</x:f>
        <x:v>0</x:v>
      </x:c>
      <x:c r="J18" s="22" t="n">
        <x:f>F18+G18-(I18-(D18+E18)*'Schedule of Values'!D18)</x:f>
        <x:v>0</x:v>
      </x:c>
      <x:c r="K18" s="22" t="n">
        <x:f>C18-H18+I18</x:f>
        <x:v>0</x:v>
      </x:c>
    </x:row>
    <x:row r="19" ht="15" hidden="0" customHeight="1">
      <x:c r="A19" s="10" t="str">
        <x:f>IF('Schedule of Values'!B19="","",'Schedule of Values'!A19)</x:f>
      </x:c>
      <x:c r="B19" s="10" t="str">
        <x:f>IF('Schedule of Values'!B19="","",'Schedule of Values'!B19)</x:f>
      </x:c>
      <x:c r="C19" s="22" t="str">
        <x:f>IF('Schedule of Values'!B19="","",'Schedule of Values'!C19)</x:f>
      </x:c>
      <x:c r="D19" s="17"/>
      <x:c r="E19" s="17"/>
      <x:c r="F19" s="17"/>
      <x:c r="G19" s="17"/>
      <x:c r="H19" s="22" t="n">
        <x:f>SUM(D19:G19)</x:f>
        <x:v>0</x:v>
      </x:c>
      <x:c r="I19" s="22" t="n">
        <x:f>H19*'Schedule of Values'!D19</x:f>
        <x:v>0</x:v>
      </x:c>
      <x:c r="J19" s="22" t="n">
        <x:f>F19+G19-(I19-(D19+E19)*'Schedule of Values'!D19)</x:f>
        <x:v>0</x:v>
      </x:c>
      <x:c r="K19" s="22" t="n">
        <x:f>C19-H19+I19</x:f>
        <x:v>0</x:v>
      </x:c>
    </x:row>
    <x:row r="20" ht="15" hidden="0" customHeight="1">
      <x:c r="A20" s="10" t="str">
        <x:f>IF('Schedule of Values'!B20="","",'Schedule of Values'!A20)</x:f>
      </x:c>
      <x:c r="B20" s="10" t="str">
        <x:f>IF('Schedule of Values'!B20="","",'Schedule of Values'!B20)</x:f>
      </x:c>
      <x:c r="C20" s="22" t="str">
        <x:f>IF('Schedule of Values'!B20="","",'Schedule of Values'!C20)</x:f>
      </x:c>
      <x:c r="D20" s="17"/>
      <x:c r="E20" s="17"/>
      <x:c r="F20" s="17"/>
      <x:c r="G20" s="17"/>
      <x:c r="H20" s="22" t="n">
        <x:f>SUM(D20:G20)</x:f>
        <x:v>0</x:v>
      </x:c>
      <x:c r="I20" s="22" t="n">
        <x:f>H20*'Schedule of Values'!D20</x:f>
        <x:v>0</x:v>
      </x:c>
      <x:c r="J20" s="22" t="n">
        <x:f>F20+G20-(I20-(D20+E20)*'Schedule of Values'!D20)</x:f>
        <x:v>0</x:v>
      </x:c>
      <x:c r="K20" s="22" t="n">
        <x:f>C20-H20+I20</x:f>
        <x:v>0</x:v>
      </x:c>
    </x:row>
    <x:row r="21" ht="15" hidden="0" customHeight="1">
      <x:c r="A21" s="10" t="str">
        <x:f>IF('Schedule of Values'!B21="","",'Schedule of Values'!A21)</x:f>
      </x:c>
      <x:c r="B21" s="10" t="str">
        <x:f>IF('Schedule of Values'!B21="","",'Schedule of Values'!B21)</x:f>
      </x:c>
      <x:c r="C21" s="22" t="str">
        <x:f>IF('Schedule of Values'!B21="","",'Schedule of Values'!C21)</x:f>
      </x:c>
      <x:c r="D21" s="17"/>
      <x:c r="E21" s="17"/>
      <x:c r="F21" s="17"/>
      <x:c r="G21" s="17"/>
      <x:c r="H21" s="22" t="n">
        <x:f>SUM(D21:G21)</x:f>
        <x:v>0</x:v>
      </x:c>
      <x:c r="I21" s="22" t="n">
        <x:f>H21*'Schedule of Values'!D21</x:f>
        <x:v>0</x:v>
      </x:c>
      <x:c r="J21" s="22" t="n">
        <x:f>F21+G21-(I21-(D21+E21)*'Schedule of Values'!D21)</x:f>
        <x:v>0</x:v>
      </x:c>
      <x:c r="K21" s="22" t="n">
        <x:f>C21-H21+I21</x:f>
        <x:v>0</x:v>
      </x:c>
    </x:row>
    <x:row r="22" ht="15" hidden="0" customHeight="1">
      <x:c r="A22" s="10" t="str">
        <x:f>IF('Schedule of Values'!B22="","",'Schedule of Values'!A22)</x:f>
      </x:c>
      <x:c r="B22" s="10" t="str">
        <x:f>IF('Schedule of Values'!B22="","",'Schedule of Values'!B22)</x:f>
      </x:c>
      <x:c r="C22" s="22" t="str">
        <x:f>IF('Schedule of Values'!B22="","",'Schedule of Values'!C22)</x:f>
      </x:c>
      <x:c r="D22" s="17"/>
      <x:c r="E22" s="17"/>
      <x:c r="F22" s="17"/>
      <x:c r="G22" s="17"/>
      <x:c r="H22" s="22" t="n">
        <x:f>SUM(D22:G22)</x:f>
        <x:v>0</x:v>
      </x:c>
      <x:c r="I22" s="22" t="n">
        <x:f>H22*'Schedule of Values'!D22</x:f>
        <x:v>0</x:v>
      </x:c>
      <x:c r="J22" s="22" t="n">
        <x:f>F22+G22-(I22-(D22+E22)*'Schedule of Values'!D22)</x:f>
        <x:v>0</x:v>
      </x:c>
      <x:c r="K22" s="22" t="n">
        <x:f>C22-H22+I22</x:f>
        <x:v>0</x:v>
      </x:c>
    </x:row>
    <x:row r="23" ht="15" hidden="0" customHeight="1">
      <x:c r="A23" s="10" t="str">
        <x:f>IF('Schedule of Values'!B23="","",'Schedule of Values'!A23)</x:f>
      </x:c>
      <x:c r="B23" s="10" t="str">
        <x:f>IF('Schedule of Values'!B23="","",'Schedule of Values'!B23)</x:f>
      </x:c>
      <x:c r="C23" s="22" t="str">
        <x:f>IF('Schedule of Values'!B23="","",'Schedule of Values'!C23)</x:f>
      </x:c>
      <x:c r="D23" s="17"/>
      <x:c r="E23" s="17"/>
      <x:c r="F23" s="17"/>
      <x:c r="G23" s="17"/>
      <x:c r="H23" s="22" t="n">
        <x:f>SUM(D23:G23)</x:f>
        <x:v>0</x:v>
      </x:c>
      <x:c r="I23" s="22" t="n">
        <x:f>H23*'Schedule of Values'!D23</x:f>
        <x:v>0</x:v>
      </x:c>
      <x:c r="J23" s="22" t="n">
        <x:f>F23+G23-(I23-(D23+E23)*'Schedule of Values'!D23)</x:f>
        <x:v>0</x:v>
      </x:c>
      <x:c r="K23" s="22" t="n">
        <x:f>C23-H23+I23</x:f>
        <x:v>0</x:v>
      </x:c>
    </x:row>
    <x:row r="24" ht="15" hidden="0" customHeight="1">
      <x:c r="A24" s="10" t="str">
        <x:f>IF('Schedule of Values'!B24="","",'Schedule of Values'!A24)</x:f>
      </x:c>
      <x:c r="B24" s="10" t="str">
        <x:f>IF('Schedule of Values'!B24="","",'Schedule of Values'!B24)</x:f>
      </x:c>
      <x:c r="C24" s="22" t="str">
        <x:f>IF('Schedule of Values'!B24="","",'Schedule of Values'!C24)</x:f>
      </x:c>
      <x:c r="D24" s="17"/>
      <x:c r="E24" s="17"/>
      <x:c r="F24" s="17"/>
      <x:c r="G24" s="17"/>
      <x:c r="H24" s="22" t="n">
        <x:f>SUM(D24:G24)</x:f>
        <x:v>0</x:v>
      </x:c>
      <x:c r="I24" s="22" t="n">
        <x:f>H24*'Schedule of Values'!D24</x:f>
        <x:v>0</x:v>
      </x:c>
      <x:c r="J24" s="22" t="n">
        <x:f>F24+G24-(I24-(D24+E24)*'Schedule of Values'!D24)</x:f>
        <x:v>0</x:v>
      </x:c>
      <x:c r="K24" s="22" t="n">
        <x:f>C24-H24+I24</x:f>
        <x:v>0</x:v>
      </x:c>
    </x:row>
    <x:row r="25" ht="15" hidden="0" customHeight="1">
      <x:c r="A25" s="10" t="str">
        <x:f>IF('Schedule of Values'!B25="","",'Schedule of Values'!A25)</x:f>
      </x:c>
      <x:c r="B25" s="10" t="str">
        <x:f>IF('Schedule of Values'!B25="","",'Schedule of Values'!B25)</x:f>
      </x:c>
      <x:c r="C25" s="22" t="str">
        <x:f>IF('Schedule of Values'!B25="","",'Schedule of Values'!C25)</x:f>
      </x:c>
      <x:c r="D25" s="17"/>
      <x:c r="E25" s="17"/>
      <x:c r="F25" s="17"/>
      <x:c r="G25" s="17"/>
      <x:c r="H25" s="22" t="n">
        <x:f>SUM(D25:G25)</x:f>
        <x:v>0</x:v>
      </x:c>
      <x:c r="I25" s="22" t="n">
        <x:f>H25*'Schedule of Values'!D25</x:f>
        <x:v>0</x:v>
      </x:c>
      <x:c r="J25" s="22" t="n">
        <x:f>F25+G25-(I25-(D25+E25)*'Schedule of Values'!D25)</x:f>
        <x:v>0</x:v>
      </x:c>
      <x:c r="K25" s="22" t="n">
        <x:f>C25-H25+I25</x:f>
        <x:v>0</x:v>
      </x:c>
    </x:row>
    <x:row r="26" ht="15" hidden="0" customHeight="1">
      <x:c r="A26" s="10" t="str">
        <x:f>IF('Schedule of Values'!B26="","",'Schedule of Values'!A26)</x:f>
      </x:c>
      <x:c r="B26" s="10" t="str">
        <x:f>IF('Schedule of Values'!B26="","",'Schedule of Values'!B26)</x:f>
      </x:c>
      <x:c r="C26" s="22" t="str">
        <x:f>IF('Schedule of Values'!B26="","",'Schedule of Values'!C26)</x:f>
      </x:c>
      <x:c r="D26" s="17"/>
      <x:c r="E26" s="17"/>
      <x:c r="F26" s="17"/>
      <x:c r="G26" s="17"/>
      <x:c r="H26" s="22" t="n">
        <x:f>SUM(D26:G26)</x:f>
        <x:v>0</x:v>
      </x:c>
      <x:c r="I26" s="22" t="n">
        <x:f>H26*'Schedule of Values'!D26</x:f>
        <x:v>0</x:v>
      </x:c>
      <x:c r="J26" s="22" t="n">
        <x:f>F26+G26-(I26-(D26+E26)*'Schedule of Values'!D26)</x:f>
        <x:v>0</x:v>
      </x:c>
      <x:c r="K26" s="22" t="n">
        <x:f>C26-H26+I26</x:f>
        <x:v>0</x:v>
      </x:c>
    </x:row>
    <x:row r="27" ht="15" hidden="0" customHeight="1">
      <x:c r="A27" s="10" t="str">
        <x:f>IF('Schedule of Values'!B27="","",'Schedule of Values'!A27)</x:f>
      </x:c>
      <x:c r="B27" s="10" t="str">
        <x:f>IF('Schedule of Values'!B27="","",'Schedule of Values'!B27)</x:f>
      </x:c>
      <x:c r="C27" s="22" t="str">
        <x:f>IF('Schedule of Values'!B27="","",'Schedule of Values'!C27)</x:f>
      </x:c>
      <x:c r="D27" s="17"/>
      <x:c r="E27" s="17"/>
      <x:c r="F27" s="17"/>
      <x:c r="G27" s="17"/>
      <x:c r="H27" s="22" t="n">
        <x:f>SUM(D27:G27)</x:f>
        <x:v>0</x:v>
      </x:c>
      <x:c r="I27" s="22" t="n">
        <x:f>H27*'Schedule of Values'!D27</x:f>
        <x:v>0</x:v>
      </x:c>
      <x:c r="J27" s="22" t="n">
        <x:f>F27+G27-(I27-(D27+E27)*'Schedule of Values'!D27)</x:f>
        <x:v>0</x:v>
      </x:c>
      <x:c r="K27" s="22" t="n">
        <x:f>C27-H27+I27</x:f>
        <x:v>0</x:v>
      </x:c>
    </x:row>
    <x:row r="28" ht="15" hidden="0" customHeight="1">
      <x:c r="A28" s="10" t="str">
        <x:f>IF('Schedule of Values'!B28="","",'Schedule of Values'!A28)</x:f>
      </x:c>
      <x:c r="B28" s="10" t="str">
        <x:f>IF('Schedule of Values'!B28="","",'Schedule of Values'!B28)</x:f>
      </x:c>
      <x:c r="C28" s="22" t="str">
        <x:f>IF('Schedule of Values'!B28="","",'Schedule of Values'!C28)</x:f>
      </x:c>
      <x:c r="D28" s="17"/>
      <x:c r="E28" s="17"/>
      <x:c r="F28" s="17"/>
      <x:c r="G28" s="17"/>
      <x:c r="H28" s="22" t="n">
        <x:f>SUM(D28:G28)</x:f>
        <x:v>0</x:v>
      </x:c>
      <x:c r="I28" s="22" t="n">
        <x:f>H28*'Schedule of Values'!D28</x:f>
        <x:v>0</x:v>
      </x:c>
      <x:c r="J28" s="22" t="n">
        <x:f>F28+G28-(I28-(D28+E28)*'Schedule of Values'!D28)</x:f>
        <x:v>0</x:v>
      </x:c>
      <x:c r="K28" s="22" t="n">
        <x:f>C28-H28+I28</x:f>
        <x:v>0</x:v>
      </x:c>
    </x:row>
    <x:row r="29" ht="15" hidden="0" customHeight="1">
      <x:c r="A29" s="10" t="str">
        <x:f>IF('Schedule of Values'!B29="","",'Schedule of Values'!A29)</x:f>
      </x:c>
      <x:c r="B29" s="10" t="str">
        <x:f>IF('Schedule of Values'!B29="","",'Schedule of Values'!B29)</x:f>
      </x:c>
      <x:c r="C29" s="22" t="str">
        <x:f>IF('Schedule of Values'!B29="","",'Schedule of Values'!C29)</x:f>
      </x:c>
      <x:c r="D29" s="17"/>
      <x:c r="E29" s="17"/>
      <x:c r="F29" s="17"/>
      <x:c r="G29" s="17"/>
      <x:c r="H29" s="22" t="n">
        <x:f>SUM(D29:G29)</x:f>
        <x:v>0</x:v>
      </x:c>
      <x:c r="I29" s="22" t="n">
        <x:f>H29*'Schedule of Values'!D29</x:f>
        <x:v>0</x:v>
      </x:c>
      <x:c r="J29" s="22" t="n">
        <x:f>F29+G29-(I29-(D29+E29)*'Schedule of Values'!D29)</x:f>
        <x:v>0</x:v>
      </x:c>
      <x:c r="K29" s="22" t="n">
        <x:f>C29-H29+I29</x:f>
        <x:v>0</x:v>
      </x:c>
    </x:row>
    <x:row r="30" ht="15" hidden="0" customHeight="1">
      <x:c r="A30" s="10" t="str">
        <x:f>IF('Schedule of Values'!B30="","",'Schedule of Values'!A30)</x:f>
      </x:c>
      <x:c r="B30" s="10" t="str">
        <x:f>IF('Schedule of Values'!B30="","",'Schedule of Values'!B30)</x:f>
      </x:c>
      <x:c r="C30" s="22" t="str">
        <x:f>IF('Schedule of Values'!B30="","",'Schedule of Values'!C30)</x:f>
      </x:c>
      <x:c r="D30" s="17"/>
      <x:c r="E30" s="17"/>
      <x:c r="F30" s="17"/>
      <x:c r="G30" s="17"/>
      <x:c r="H30" s="22" t="n">
        <x:f>SUM(D30:G30)</x:f>
        <x:v>0</x:v>
      </x:c>
      <x:c r="I30" s="22" t="n">
        <x:f>H30*'Schedule of Values'!D30</x:f>
        <x:v>0</x:v>
      </x:c>
      <x:c r="J30" s="22" t="n">
        <x:f>F30+G30-(I30-(D30+E30)*'Schedule of Values'!D30)</x:f>
        <x:v>0</x:v>
      </x:c>
      <x:c r="K30" s="22" t="n">
        <x:f>C30-H30+I30</x:f>
        <x:v>0</x:v>
      </x:c>
    </x:row>
    <x:row r="31" ht="15" hidden="0" customHeight="1">
      <x:c r="A31" s="10" t="str">
        <x:f>IF('Schedule of Values'!B31="","",'Schedule of Values'!A31)</x:f>
      </x:c>
      <x:c r="B31" s="10" t="str">
        <x:f>IF('Schedule of Values'!B31="","",'Schedule of Values'!B31)</x:f>
      </x:c>
      <x:c r="C31" s="22" t="str">
        <x:f>IF('Schedule of Values'!B31="","",'Schedule of Values'!C31)</x:f>
      </x:c>
      <x:c r="D31" s="17"/>
      <x:c r="E31" s="17"/>
      <x:c r="F31" s="17"/>
      <x:c r="G31" s="17"/>
      <x:c r="H31" s="22" t="n">
        <x:f>SUM(D31:G31)</x:f>
        <x:v>0</x:v>
      </x:c>
      <x:c r="I31" s="22" t="n">
        <x:f>H31*'Schedule of Values'!D31</x:f>
        <x:v>0</x:v>
      </x:c>
      <x:c r="J31" s="22" t="n">
        <x:f>F31+G31-(I31-(D31+E31)*'Schedule of Values'!D31)</x:f>
        <x:v>0</x:v>
      </x:c>
      <x:c r="K31" s="22" t="n">
        <x:f>C31-H31+I31</x:f>
        <x:v>0</x:v>
      </x:c>
    </x:row>
    <x:row r="32" ht="15" hidden="0" customHeight="1">
      <x:c r="A32" s="10" t="str">
        <x:f>IF('Schedule of Values'!B32="","",'Schedule of Values'!A32)</x:f>
      </x:c>
      <x:c r="B32" s="10" t="str">
        <x:f>IF('Schedule of Values'!B32="","",'Schedule of Values'!B32)</x:f>
      </x:c>
      <x:c r="C32" s="22" t="str">
        <x:f>IF('Schedule of Values'!B32="","",'Schedule of Values'!C32)</x:f>
      </x:c>
      <x:c r="D32" s="17"/>
      <x:c r="E32" s="17"/>
      <x:c r="F32" s="17"/>
      <x:c r="G32" s="17"/>
      <x:c r="H32" s="22" t="n">
        <x:f>SUM(D32:G32)</x:f>
        <x:v>0</x:v>
      </x:c>
      <x:c r="I32" s="22" t="n">
        <x:f>H32*'Schedule of Values'!D32</x:f>
        <x:v>0</x:v>
      </x:c>
      <x:c r="J32" s="22" t="n">
        <x:f>F32+G32-(I32-(D32+E32)*'Schedule of Values'!D32)</x:f>
        <x:v>0</x:v>
      </x:c>
      <x:c r="K32" s="22" t="n">
        <x:f>C32-H32+I32</x:f>
        <x:v>0</x:v>
      </x:c>
    </x:row>
    <x:row r="33" ht="15" hidden="0" customHeight="1">
      <x:c r="A33" s="10" t="str">
        <x:f>IF('Schedule of Values'!B33="","",'Schedule of Values'!A33)</x:f>
      </x:c>
      <x:c r="B33" s="10" t="str">
        <x:f>IF('Schedule of Values'!B33="","",'Schedule of Values'!B33)</x:f>
      </x:c>
      <x:c r="C33" s="22" t="str">
        <x:f>IF('Schedule of Values'!B33="","",'Schedule of Values'!C33)</x:f>
      </x:c>
      <x:c r="D33" s="17"/>
      <x:c r="E33" s="17"/>
      <x:c r="F33" s="17"/>
      <x:c r="G33" s="17"/>
      <x:c r="H33" s="22" t="n">
        <x:f>SUM(D33:G33)</x:f>
        <x:v>0</x:v>
      </x:c>
      <x:c r="I33" s="22" t="n">
        <x:f>H33*'Schedule of Values'!D33</x:f>
        <x:v>0</x:v>
      </x:c>
      <x:c r="J33" s="22" t="n">
        <x:f>F33+G33-(I33-(D33+E33)*'Schedule of Values'!D33)</x:f>
        <x:v>0</x:v>
      </x:c>
      <x:c r="K33" s="22" t="n">
        <x:f>C33-H33+I33</x:f>
        <x:v>0</x:v>
      </x:c>
    </x:row>
    <x:row r="34" ht="15" hidden="0" customHeight="1">
      <x:c r="A34" s="10" t="str">
        <x:f>IF('Schedule of Values'!B34="","",'Schedule of Values'!A34)</x:f>
      </x:c>
      <x:c r="B34" s="10" t="str">
        <x:f>IF('Schedule of Values'!B34="","",'Schedule of Values'!B34)</x:f>
      </x:c>
      <x:c r="C34" s="22" t="str">
        <x:f>IF('Schedule of Values'!B34="","",'Schedule of Values'!C34)</x:f>
      </x:c>
      <x:c r="D34" s="17"/>
      <x:c r="E34" s="17"/>
      <x:c r="F34" s="17"/>
      <x:c r="G34" s="17"/>
      <x:c r="H34" s="22" t="n">
        <x:f>SUM(D34:G34)</x:f>
        <x:v>0</x:v>
      </x:c>
      <x:c r="I34" s="22" t="n">
        <x:f>H34*'Schedule of Values'!D34</x:f>
        <x:v>0</x:v>
      </x:c>
      <x:c r="J34" s="22" t="n">
        <x:f>F34+G34-(I34-(D34+E34)*'Schedule of Values'!D34)</x:f>
        <x:v>0</x:v>
      </x:c>
      <x:c r="K34" s="22" t="n">
        <x:f>C34-H34+I34</x:f>
        <x:v>0</x:v>
      </x:c>
    </x:row>
    <x:row r="35" ht="15" hidden="0" customHeight="1">
      <x:c r="A35" s="10" t="str">
        <x:f>IF('Schedule of Values'!B35="","",'Schedule of Values'!A35)</x:f>
      </x:c>
      <x:c r="B35" s="10" t="str">
        <x:f>IF('Schedule of Values'!B35="","",'Schedule of Values'!B35)</x:f>
      </x:c>
      <x:c r="C35" s="22" t="str">
        <x:f>IF('Schedule of Values'!B35="","",'Schedule of Values'!C35)</x:f>
      </x:c>
      <x:c r="D35" s="17"/>
      <x:c r="E35" s="17"/>
      <x:c r="F35" s="17"/>
      <x:c r="G35" s="17"/>
      <x:c r="H35" s="22" t="n">
        <x:f>SUM(D35:G35)</x:f>
        <x:v>0</x:v>
      </x:c>
      <x:c r="I35" s="22" t="n">
        <x:f>H35*'Schedule of Values'!D35</x:f>
        <x:v>0</x:v>
      </x:c>
      <x:c r="J35" s="22" t="n">
        <x:f>F35+G35-(I35-(D35+E35)*'Schedule of Values'!D35)</x:f>
        <x:v>0</x:v>
      </x:c>
      <x:c r="K35" s="22" t="n">
        <x:f>C35-H35+I35</x:f>
        <x:v>0</x:v>
      </x:c>
    </x:row>
    <x:row r="36" ht="15" hidden="0" customHeight="1">
      <x:c r="A36" s="10" t="str">
        <x:f>IF('Schedule of Values'!B36="","",'Schedule of Values'!A36)</x:f>
      </x:c>
      <x:c r="B36" s="10" t="str">
        <x:f>IF('Schedule of Values'!B36="","",'Schedule of Values'!B36)</x:f>
      </x:c>
      <x:c r="C36" s="22" t="str">
        <x:f>IF('Schedule of Values'!B36="","",'Schedule of Values'!C36)</x:f>
      </x:c>
      <x:c r="D36" s="17"/>
      <x:c r="E36" s="17"/>
      <x:c r="F36" s="17"/>
      <x:c r="G36" s="17"/>
      <x:c r="H36" s="22" t="n">
        <x:f>SUM(D36:G36)</x:f>
        <x:v>0</x:v>
      </x:c>
      <x:c r="I36" s="22" t="n">
        <x:f>H36*'Schedule of Values'!D36</x:f>
        <x:v>0</x:v>
      </x:c>
      <x:c r="J36" s="22" t="n">
        <x:f>F36+G36-(I36-(D36+E36)*'Schedule of Values'!D36)</x:f>
        <x:v>0</x:v>
      </x:c>
      <x:c r="K36" s="22" t="n">
        <x:f>C36-H36+I36</x:f>
        <x:v>0</x:v>
      </x:c>
    </x:row>
    <x:row r="37" ht="15" hidden="0" customHeight="1">
      <x:c r="A37" s="10" t="str">
        <x:f>IF('Schedule of Values'!B37="","",'Schedule of Values'!A37)</x:f>
      </x:c>
      <x:c r="B37" s="10" t="str">
        <x:f>IF('Schedule of Values'!B37="","",'Schedule of Values'!B37)</x:f>
      </x:c>
      <x:c r="C37" s="22" t="str">
        <x:f>IF('Schedule of Values'!B37="","",'Schedule of Values'!C37)</x:f>
      </x:c>
      <x:c r="D37" s="17"/>
      <x:c r="E37" s="17"/>
      <x:c r="F37" s="17"/>
      <x:c r="G37" s="17"/>
      <x:c r="H37" s="22" t="n">
        <x:f>SUM(D37:G37)</x:f>
        <x:v>0</x:v>
      </x:c>
      <x:c r="I37" s="22" t="n">
        <x:f>H37*'Schedule of Values'!D37</x:f>
        <x:v>0</x:v>
      </x:c>
      <x:c r="J37" s="22" t="n">
        <x:f>F37+G37-(I37-(D37+E37)*'Schedule of Values'!D37)</x:f>
        <x:v>0</x:v>
      </x:c>
      <x:c r="K37" s="22" t="n">
        <x:f>C37-H37+I37</x:f>
        <x:v>0</x:v>
      </x:c>
    </x:row>
    <x:row r="38" ht="15" hidden="0" customHeight="1">
      <x:c r="A38" s="10" t="str">
        <x:f>IF('Schedule of Values'!B38="","",'Schedule of Values'!A38)</x:f>
      </x:c>
      <x:c r="B38" s="10" t="str">
        <x:f>IF('Schedule of Values'!B38="","",'Schedule of Values'!B38)</x:f>
      </x:c>
      <x:c r="C38" s="22" t="str">
        <x:f>IF('Schedule of Values'!B38="","",'Schedule of Values'!C38)</x:f>
      </x:c>
      <x:c r="D38" s="17"/>
      <x:c r="E38" s="17"/>
      <x:c r="F38" s="17"/>
      <x:c r="G38" s="17"/>
      <x:c r="H38" s="22" t="n">
        <x:f>SUM(D38:G38)</x:f>
        <x:v>0</x:v>
      </x:c>
      <x:c r="I38" s="22" t="n">
        <x:f>H38*'Schedule of Values'!D38</x:f>
        <x:v>0</x:v>
      </x:c>
      <x:c r="J38" s="22" t="n">
        <x:f>F38+G38-(I38-(D38+E38)*'Schedule of Values'!D38)</x:f>
        <x:v>0</x:v>
      </x:c>
      <x:c r="K38" s="22" t="n">
        <x:f>C38-H38+I38</x:f>
        <x:v>0</x:v>
      </x:c>
    </x:row>
    <x:row r="39" ht="15" hidden="0" customHeight="1">
      <x:c r="A39" s="10" t="str">
        <x:f>IF('Schedule of Values'!B39="","",'Schedule of Values'!A39)</x:f>
      </x:c>
      <x:c r="B39" s="10" t="str">
        <x:f>IF('Schedule of Values'!B39="","",'Schedule of Values'!B39)</x:f>
      </x:c>
      <x:c r="C39" s="22" t="str">
        <x:f>IF('Schedule of Values'!B39="","",'Schedule of Values'!C39)</x:f>
      </x:c>
      <x:c r="D39" s="17"/>
      <x:c r="E39" s="17"/>
      <x:c r="F39" s="17"/>
      <x:c r="G39" s="17"/>
      <x:c r="H39" s="22" t="n">
        <x:f>SUM(D39:G39)</x:f>
        <x:v>0</x:v>
      </x:c>
      <x:c r="I39" s="22" t="n">
        <x:f>H39*'Schedule of Values'!D39</x:f>
        <x:v>0</x:v>
      </x:c>
      <x:c r="J39" s="22" t="n">
        <x:f>F39+G39-(I39-(D39+E39)*'Schedule of Values'!D39)</x:f>
        <x:v>0</x:v>
      </x:c>
      <x:c r="K39" s="22" t="n">
        <x:f>C39-H39+I39</x:f>
        <x:v>0</x:v>
      </x:c>
    </x:row>
    <x:row r="40" ht="15" hidden="0" customHeight="1">
      <x:c r="A40" s="10" t="str">
        <x:f>IF('Schedule of Values'!B40="","",'Schedule of Values'!A40)</x:f>
      </x:c>
      <x:c r="B40" s="10" t="str">
        <x:f>IF('Schedule of Values'!B40="","",'Schedule of Values'!B40)</x:f>
      </x:c>
      <x:c r="C40" s="22" t="str">
        <x:f>IF('Schedule of Values'!B40="","",'Schedule of Values'!C40)</x:f>
      </x:c>
      <x:c r="D40" s="17"/>
      <x:c r="E40" s="17"/>
      <x:c r="F40" s="17"/>
      <x:c r="G40" s="17"/>
      <x:c r="H40" s="22" t="n">
        <x:f>SUM(D40:G40)</x:f>
        <x:v>0</x:v>
      </x:c>
      <x:c r="I40" s="22" t="n">
        <x:f>H40*'Schedule of Values'!D40</x:f>
        <x:v>0</x:v>
      </x:c>
      <x:c r="J40" s="22" t="n">
        <x:f>F40+G40-(I40-(D40+E40)*'Schedule of Values'!D40)</x:f>
        <x:v>0</x:v>
      </x:c>
      <x:c r="K40" s="22" t="n">
        <x:f>C40-H40+I40</x:f>
        <x:v>0</x:v>
      </x:c>
    </x:row>
    <x:row r="41" ht="15" hidden="0" customHeight="1">
      <x:c r="A41" s="10" t="str">
        <x:f>IF('Schedule of Values'!B41="","",'Schedule of Values'!A41)</x:f>
      </x:c>
      <x:c r="B41" s="10" t="str">
        <x:f>IF('Schedule of Values'!B41="","",'Schedule of Values'!B41)</x:f>
      </x:c>
      <x:c r="C41" s="22" t="str">
        <x:f>IF('Schedule of Values'!B41="","",'Schedule of Values'!C41)</x:f>
      </x:c>
      <x:c r="D41" s="17"/>
      <x:c r="E41" s="17"/>
      <x:c r="F41" s="17"/>
      <x:c r="G41" s="17"/>
      <x:c r="H41" s="22" t="n">
        <x:f>SUM(D41:G41)</x:f>
        <x:v>0</x:v>
      </x:c>
      <x:c r="I41" s="22" t="n">
        <x:f>H41*'Schedule of Values'!D41</x:f>
        <x:v>0</x:v>
      </x:c>
      <x:c r="J41" s="22" t="n">
        <x:f>F41+G41-(I41-(D41+E41)*'Schedule of Values'!D41)</x:f>
        <x:v>0</x:v>
      </x:c>
      <x:c r="K41" s="22" t="n">
        <x:f>C41-H41+I41</x:f>
        <x:v>0</x:v>
      </x:c>
    </x:row>
    <x:row r="42" ht="15" hidden="0" customHeight="1">
      <x:c r="A42" s="10" t="str">
        <x:f>IF('Schedule of Values'!B42="","",'Schedule of Values'!A42)</x:f>
      </x:c>
      <x:c r="B42" s="10" t="str">
        <x:f>IF('Schedule of Values'!B42="","",'Schedule of Values'!B42)</x:f>
      </x:c>
      <x:c r="C42" s="22" t="str">
        <x:f>IF('Schedule of Values'!B42="","",'Schedule of Values'!C42)</x:f>
      </x:c>
      <x:c r="D42" s="17"/>
      <x:c r="E42" s="17"/>
      <x:c r="F42" s="17"/>
      <x:c r="G42" s="17"/>
      <x:c r="H42" s="22" t="n">
        <x:f>SUM(D42:G42)</x:f>
        <x:v>0</x:v>
      </x:c>
      <x:c r="I42" s="22" t="n">
        <x:f>H42*'Schedule of Values'!D42</x:f>
        <x:v>0</x:v>
      </x:c>
      <x:c r="J42" s="22" t="n">
        <x:f>F42+G42-(I42-(D42+E42)*'Schedule of Values'!D42)</x:f>
        <x:v>0</x:v>
      </x:c>
      <x:c r="K42" s="22" t="n">
        <x:f>C42-H42+I42</x:f>
        <x:v>0</x:v>
      </x:c>
    </x:row>
    <x:row r="43" ht="15" hidden="0" customHeight="1">
      <x:c r="A43" s="10" t="str">
        <x:f>IF('Schedule of Values'!B43="","",'Schedule of Values'!A43)</x:f>
      </x:c>
      <x:c r="B43" s="10" t="str">
        <x:f>IF('Schedule of Values'!B43="","",'Schedule of Values'!B43)</x:f>
      </x:c>
      <x:c r="C43" s="22" t="str">
        <x:f>IF('Schedule of Values'!B43="","",'Schedule of Values'!C43)</x:f>
      </x:c>
      <x:c r="D43" s="17"/>
      <x:c r="E43" s="17"/>
      <x:c r="F43" s="17"/>
      <x:c r="G43" s="17"/>
      <x:c r="H43" s="22" t="n">
        <x:f>SUM(D43:G43)</x:f>
        <x:v>0</x:v>
      </x:c>
      <x:c r="I43" s="22" t="n">
        <x:f>H43*'Schedule of Values'!D43</x:f>
        <x:v>0</x:v>
      </x:c>
      <x:c r="J43" s="22" t="n">
        <x:f>F43+G43-(I43-(D43+E43)*'Schedule of Values'!D43)</x:f>
        <x:v>0</x:v>
      </x:c>
      <x:c r="K43" s="22" t="n">
        <x:f>C43-H43+I43</x:f>
        <x:v>0</x:v>
      </x:c>
    </x:row>
    <x:row r="44" ht="15" hidden="0" customHeight="1">
      <x:c r="A44" s="10" t="str">
        <x:f>IF('Schedule of Values'!B44="","",'Schedule of Values'!A44)</x:f>
      </x:c>
      <x:c r="B44" s="10" t="str">
        <x:f>IF('Schedule of Values'!B44="","",'Schedule of Values'!B44)</x:f>
      </x:c>
      <x:c r="C44" s="22" t="str">
        <x:f>IF('Schedule of Values'!B44="","",'Schedule of Values'!C44)</x:f>
      </x:c>
      <x:c r="D44" s="17"/>
      <x:c r="E44" s="17"/>
      <x:c r="F44" s="17"/>
      <x:c r="G44" s="17"/>
      <x:c r="H44" s="22" t="n">
        <x:f>SUM(D44:G44)</x:f>
        <x:v>0</x:v>
      </x:c>
      <x:c r="I44" s="22" t="n">
        <x:f>H44*'Schedule of Values'!D44</x:f>
        <x:v>0</x:v>
      </x:c>
      <x:c r="J44" s="22" t="n">
        <x:f>F44+G44-(I44-(D44+E44)*'Schedule of Values'!D44)</x:f>
        <x:v>0</x:v>
      </x:c>
      <x:c r="K44" s="22" t="n">
        <x:f>C44-H44+I44</x:f>
        <x:v>0</x:v>
      </x:c>
    </x:row>
    <x:row r="45"/>
    <x:row r="46" ht="15" hidden="0" customHeight="1">
      <x:c r="A46" s="8"/>
      <x:c r="B46" s="8" t="str">
        <x:v>TOTAL</x:v>
      </x:c>
      <x:c r="C46" s="26" t="n">
        <x:f>SUM(C5:C44)</x:f>
        <x:v>0</x:v>
      </x:c>
      <x:c r="D46" s="26" t="n">
        <x:f>SUM(D5:D44)</x:f>
        <x:v>0</x:v>
      </x:c>
      <x:c r="E46" s="26" t="n">
        <x:f>SUM(E5:E44)</x:f>
        <x:v>0</x:v>
      </x:c>
      <x:c r="F46" s="26" t="n">
        <x:f>SUM(F5:F44)</x:f>
        <x:v>0</x:v>
      </x:c>
      <x:c r="G46" s="26" t="n">
        <x:f>SUM(G5:G44)</x:f>
        <x:v>0</x:v>
      </x:c>
      <x:c r="H46" s="26" t="n">
        <x:f>SUM(H5:H44)</x:f>
        <x:v>0</x:v>
      </x:c>
      <x:c r="I46" s="26" t="n">
        <x:f>SUM(I5:I44)</x:f>
        <x:v>0</x:v>
      </x:c>
      <x:c r="J46" s="26" t="n">
        <x:f>SUM(J5:J44)</x:f>
        <x:v>0</x:v>
      </x:c>
      <x:c r="K46" s="26" t="n">
        <x:f>SUM(K5:K44)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